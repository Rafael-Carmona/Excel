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CP1PEPF00001F0C\EXCELCNV\fdfae85e-88c5-4747-91f6-85f70ca5e1b6\"/>
    </mc:Choice>
  </mc:AlternateContent>
  <xr:revisionPtr revIDLastSave="0" documentId="8_{F5F38EDA-0CD7-40CC-AE90-0E52BDB98C2E}" xr6:coauthVersionLast="47" xr6:coauthVersionMax="47" xr10:uidLastSave="{00000000-0000-0000-0000-000000000000}"/>
  <bookViews>
    <workbookView xWindow="-60" yWindow="-60" windowWidth="15480" windowHeight="11640" firstSheet="1" activeTab="2" xr2:uid="{00000000-000D-0000-FFFF-FFFF00000000}"/>
  </bookViews>
  <sheets>
    <sheet name="RAW_Vulnerabilities" sheetId="1" r:id="rId1"/>
    <sheet name="DASHBOARD" sheetId="6" r:id="rId2"/>
    <sheet name="Tabela Dinamica" sheetId="5" r:id="rId3"/>
  </sheets>
  <definedNames>
    <definedName name="_xlnm._FilterDatabase" localSheetId="0" hidden="1">RAW_Vulnerabilities!$A$1:$R$601</definedName>
  </definedNames>
  <calcPr calcId="191028"/>
  <pivotCaches>
    <pivotCache cacheId="10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6" l="1"/>
  <c r="C4" i="6"/>
  <c r="H4" i="6"/>
  <c r="S3" i="1"/>
  <c r="T369" i="1"/>
  <c r="T456" i="1"/>
  <c r="T370" i="1"/>
  <c r="T108" i="1"/>
  <c r="T459" i="1"/>
  <c r="T210" i="1"/>
  <c r="T461" i="1"/>
  <c r="T462" i="1"/>
  <c r="T109" i="1"/>
  <c r="T371" i="1"/>
  <c r="T35" i="1"/>
  <c r="T159" i="1"/>
  <c r="T283" i="1"/>
  <c r="T36" i="1"/>
  <c r="T160" i="1"/>
  <c r="T213" i="1"/>
  <c r="T463" i="1"/>
  <c r="T584" i="1"/>
  <c r="T161" i="1"/>
  <c r="T110" i="1"/>
  <c r="T284" i="1"/>
  <c r="T285" i="1"/>
  <c r="T111" i="1"/>
  <c r="T286" i="1"/>
  <c r="T37" i="1"/>
  <c r="T542" i="1"/>
  <c r="T287" i="1"/>
  <c r="T5" i="1"/>
  <c r="T373" i="1"/>
  <c r="T466" i="1"/>
  <c r="T374" i="1"/>
  <c r="T215" i="1"/>
  <c r="T112" i="1"/>
  <c r="T38" i="1"/>
  <c r="T288" i="1"/>
  <c r="T289" i="1"/>
  <c r="T543" i="1"/>
  <c r="T467" i="1"/>
  <c r="T19" i="1"/>
  <c r="T544" i="1"/>
  <c r="T217" i="1"/>
  <c r="T2" i="1"/>
  <c r="T162" i="1"/>
  <c r="T218" i="1"/>
  <c r="T219" i="1"/>
  <c r="T292" i="1"/>
  <c r="T220" i="1"/>
  <c r="T293" i="1"/>
  <c r="T222" i="1"/>
  <c r="T375" i="1"/>
  <c r="T376" i="1"/>
  <c r="T295" i="1"/>
  <c r="T379" i="1"/>
  <c r="T474" i="1"/>
  <c r="T296" i="1"/>
  <c r="T475" i="1"/>
  <c r="T163" i="1"/>
  <c r="T476" i="1"/>
  <c r="T6" i="1"/>
  <c r="T380" i="1"/>
  <c r="T224" i="1"/>
  <c r="T585" i="1"/>
  <c r="T165" i="1"/>
  <c r="T20" i="1"/>
  <c r="T478" i="1"/>
  <c r="T226" i="1"/>
  <c r="T382" i="1"/>
  <c r="T547" i="1"/>
  <c r="T227" i="1"/>
  <c r="T300" i="1"/>
  <c r="T228" i="1"/>
  <c r="T229" i="1"/>
  <c r="T41" i="1"/>
  <c r="T480" i="1"/>
  <c r="T301" i="1"/>
  <c r="T230" i="1"/>
  <c r="T386" i="1"/>
  <c r="T232" i="1"/>
  <c r="T303" i="1"/>
  <c r="T114" i="1"/>
  <c r="T115" i="1"/>
  <c r="T387" i="1"/>
  <c r="T549" i="1"/>
  <c r="T550" i="1"/>
  <c r="T168" i="1"/>
  <c r="T169" i="1"/>
  <c r="T551" i="1"/>
  <c r="T389" i="1"/>
  <c r="T237" i="1"/>
  <c r="T170" i="1"/>
  <c r="T172" i="1"/>
  <c r="T487" i="1"/>
  <c r="T238" i="1"/>
  <c r="T392" i="1"/>
  <c r="T173" i="1"/>
  <c r="T7" i="1"/>
  <c r="T306" i="1"/>
  <c r="T488" i="1"/>
  <c r="T489" i="1"/>
  <c r="T490" i="1"/>
  <c r="T239" i="1"/>
  <c r="T491" i="1"/>
  <c r="T587" i="1"/>
  <c r="T394" i="1"/>
  <c r="T69" i="1"/>
  <c r="T554" i="1"/>
  <c r="T307" i="1"/>
  <c r="T555" i="1"/>
  <c r="T492" i="1"/>
  <c r="T70" i="1"/>
  <c r="T176" i="1"/>
  <c r="T240" i="1"/>
  <c r="T395" i="1"/>
  <c r="T396" i="1"/>
  <c r="T309" i="1"/>
  <c r="T493" i="1"/>
  <c r="T177" i="1"/>
  <c r="T71" i="1"/>
  <c r="T241" i="1"/>
  <c r="T178" i="1"/>
  <c r="T311" i="1"/>
  <c r="T180" i="1"/>
  <c r="T45" i="1"/>
  <c r="T24" i="1"/>
  <c r="T244" i="1"/>
  <c r="T398" i="1"/>
  <c r="T399" i="1"/>
  <c r="T124" i="1"/>
  <c r="T73" i="1"/>
  <c r="T589" i="1"/>
  <c r="T245" i="1"/>
  <c r="T125" i="1"/>
  <c r="T314" i="1"/>
  <c r="T75" i="1"/>
  <c r="T48" i="1"/>
  <c r="T76" i="1"/>
  <c r="T495" i="1"/>
  <c r="T49" i="1"/>
  <c r="T246" i="1"/>
  <c r="T316" i="1"/>
  <c r="T557" i="1"/>
  <c r="T401" i="1"/>
  <c r="T126" i="1"/>
  <c r="T402" i="1"/>
  <c r="T8" i="1"/>
  <c r="T496" i="1"/>
  <c r="T318" i="1"/>
  <c r="T404" i="1"/>
  <c r="T497" i="1"/>
  <c r="T498" i="1"/>
  <c r="T319" i="1"/>
  <c r="T500" i="1"/>
  <c r="T502" i="1"/>
  <c r="T559" i="1"/>
  <c r="T51" i="1"/>
  <c r="T52" i="1"/>
  <c r="T503" i="1"/>
  <c r="T80" i="1"/>
  <c r="T250" i="1"/>
  <c r="T324" i="1"/>
  <c r="T561" i="1"/>
  <c r="T410" i="1"/>
  <c r="T564" i="1"/>
  <c r="T411" i="1"/>
  <c r="T53" i="1"/>
  <c r="T412" i="1"/>
  <c r="T129" i="1"/>
  <c r="T182" i="1"/>
  <c r="T506" i="1"/>
  <c r="T507" i="1"/>
  <c r="T327" i="1"/>
  <c r="T253" i="1"/>
  <c r="T328" i="1"/>
  <c r="T131" i="1"/>
  <c r="T413" i="1"/>
  <c r="T133" i="1"/>
  <c r="T54" i="1"/>
  <c r="T416" i="1"/>
  <c r="T330" i="1"/>
  <c r="T331" i="1"/>
  <c r="T86" i="1"/>
  <c r="T565" i="1"/>
  <c r="T10" i="1"/>
  <c r="T56" i="1"/>
  <c r="T510" i="1"/>
  <c r="T511" i="1"/>
  <c r="T512" i="1"/>
  <c r="T333" i="1"/>
  <c r="T136" i="1"/>
  <c r="T335" i="1"/>
  <c r="T256" i="1"/>
  <c r="T423" i="1"/>
  <c r="T424" i="1"/>
  <c r="T515" i="1"/>
  <c r="T516" i="1"/>
  <c r="T27" i="1"/>
  <c r="T184" i="1"/>
  <c r="T340" i="1"/>
  <c r="T185" i="1"/>
  <c r="T88" i="1"/>
  <c r="T518" i="1"/>
  <c r="T257" i="1"/>
  <c r="T187" i="1"/>
  <c r="T57" i="1"/>
  <c r="T138" i="1"/>
  <c r="T259" i="1"/>
  <c r="T140" i="1"/>
  <c r="T28" i="1"/>
  <c r="T90" i="1"/>
  <c r="T11" i="1"/>
  <c r="T567" i="1"/>
  <c r="T425" i="1"/>
  <c r="T426" i="1"/>
  <c r="T58" i="1"/>
  <c r="T342" i="1"/>
  <c r="T522" i="1"/>
  <c r="T569" i="1"/>
  <c r="T261" i="1"/>
  <c r="T188" i="1"/>
  <c r="T91" i="1"/>
  <c r="T142" i="1"/>
  <c r="T92" i="1"/>
  <c r="T189" i="1"/>
  <c r="T344" i="1"/>
  <c r="T570" i="1"/>
  <c r="T346" i="1"/>
  <c r="T525" i="1"/>
  <c r="T93" i="1"/>
  <c r="T428" i="1"/>
  <c r="T144" i="1"/>
  <c r="T527" i="1"/>
  <c r="T29" i="1"/>
  <c r="T94" i="1"/>
  <c r="T191" i="1"/>
  <c r="T528" i="1"/>
  <c r="T351" i="1"/>
  <c r="T14" i="1"/>
  <c r="T264" i="1"/>
  <c r="T30" i="1"/>
  <c r="T529" i="1"/>
  <c r="T95" i="1"/>
  <c r="T193" i="1"/>
  <c r="T595" i="1"/>
  <c r="T530" i="1"/>
  <c r="T532" i="1"/>
  <c r="T269" i="1"/>
  <c r="T97" i="1"/>
  <c r="T194" i="1"/>
  <c r="T433" i="1"/>
  <c r="T435" i="1"/>
  <c r="T436" i="1"/>
  <c r="T98" i="1"/>
  <c r="T437" i="1"/>
  <c r="T438" i="1"/>
  <c r="T573" i="1"/>
  <c r="T356" i="1"/>
  <c r="T271" i="1"/>
  <c r="T440" i="1"/>
  <c r="T149" i="1"/>
  <c r="T99" i="1"/>
  <c r="T357" i="1"/>
  <c r="T60" i="1"/>
  <c r="T196" i="1"/>
  <c r="T574" i="1"/>
  <c r="T100" i="1"/>
  <c r="T16" i="1"/>
  <c r="T62" i="1"/>
  <c r="T534" i="1"/>
  <c r="T535" i="1"/>
  <c r="T359" i="1"/>
  <c r="T272" i="1"/>
  <c r="T442" i="1"/>
  <c r="T576" i="1"/>
  <c r="T273" i="1"/>
  <c r="T101" i="1"/>
  <c r="T443" i="1"/>
  <c r="T31" i="1"/>
  <c r="T577" i="1"/>
  <c r="T598" i="1"/>
  <c r="T578" i="1"/>
  <c r="T361" i="1"/>
  <c r="T537" i="1"/>
  <c r="T538" i="1"/>
  <c r="T274" i="1"/>
  <c r="T4" i="1"/>
  <c r="T363" i="1"/>
  <c r="T199" i="1"/>
  <c r="T200" i="1"/>
  <c r="T102" i="1"/>
  <c r="T599" i="1"/>
  <c r="T63" i="1"/>
  <c r="T579" i="1"/>
  <c r="T447" i="1"/>
  <c r="T580" i="1"/>
  <c r="T33" i="1"/>
  <c r="T17" i="1"/>
  <c r="T364" i="1"/>
  <c r="T365" i="1"/>
  <c r="T540" i="1"/>
  <c r="T276" i="1"/>
  <c r="T450" i="1"/>
  <c r="T451" i="1"/>
  <c r="T583" i="1"/>
  <c r="T453" i="1"/>
  <c r="T368" i="1"/>
  <c r="T157" i="1"/>
  <c r="T278" i="1"/>
  <c r="T454" i="1"/>
  <c r="T206" i="1"/>
  <c r="T207" i="1"/>
  <c r="S326" i="1"/>
  <c r="T326" i="1" s="1"/>
  <c r="S369" i="1"/>
  <c r="S513" i="1"/>
  <c r="T513" i="1" s="1"/>
  <c r="S341" i="1"/>
  <c r="T341" i="1" s="1"/>
  <c r="S596" i="1"/>
  <c r="T596" i="1" s="1"/>
  <c r="S456" i="1"/>
  <c r="S350" i="1"/>
  <c r="T350" i="1" s="1"/>
  <c r="S524" i="1"/>
  <c r="T524" i="1" s="1"/>
  <c r="S552" i="1"/>
  <c r="T552" i="1" s="1"/>
  <c r="S370" i="1"/>
  <c r="S108" i="1"/>
  <c r="S281" i="1"/>
  <c r="T281" i="1" s="1"/>
  <c r="S582" i="1"/>
  <c r="T582" i="1" s="1"/>
  <c r="S459" i="1"/>
  <c r="S89" i="1"/>
  <c r="T89" i="1" s="1"/>
  <c r="S270" i="1"/>
  <c r="T270" i="1" s="1"/>
  <c r="S400" i="1"/>
  <c r="T400" i="1" s="1"/>
  <c r="S210" i="1"/>
  <c r="S461" i="1"/>
  <c r="S103" i="1"/>
  <c r="T103" i="1" s="1"/>
  <c r="S323" i="1"/>
  <c r="T323" i="1" s="1"/>
  <c r="S462" i="1"/>
  <c r="S548" i="1"/>
  <c r="T548" i="1" s="1"/>
  <c r="S109" i="1"/>
  <c r="S338" i="1"/>
  <c r="T338" i="1" s="1"/>
  <c r="S371" i="1"/>
  <c r="S39" i="1"/>
  <c r="T39" i="1" s="1"/>
  <c r="S35" i="1"/>
  <c r="S159" i="1"/>
  <c r="S283" i="1"/>
  <c r="S36" i="1"/>
  <c r="S160" i="1"/>
  <c r="S213" i="1"/>
  <c r="S463" i="1"/>
  <c r="S584" i="1"/>
  <c r="S161" i="1"/>
  <c r="S127" i="1"/>
  <c r="T127" i="1" s="1"/>
  <c r="S110" i="1"/>
  <c r="S284" i="1"/>
  <c r="S313" i="1"/>
  <c r="T313" i="1" s="1"/>
  <c r="S285" i="1"/>
  <c r="S111" i="1"/>
  <c r="S68" i="1"/>
  <c r="T68" i="1" s="1"/>
  <c r="S286" i="1"/>
  <c r="S37" i="1"/>
  <c r="S542" i="1"/>
  <c r="S287" i="1"/>
  <c r="S5" i="1"/>
  <c r="S403" i="1"/>
  <c r="T403" i="1" s="1"/>
  <c r="S373" i="1"/>
  <c r="S466" i="1"/>
  <c r="S374" i="1"/>
  <c r="S215" i="1"/>
  <c r="S112" i="1"/>
  <c r="S38" i="1"/>
  <c r="S46" i="1"/>
  <c r="T46" i="1" s="1"/>
  <c r="S288" i="1"/>
  <c r="S289" i="1"/>
  <c r="S34" i="1"/>
  <c r="T34" i="1" s="1"/>
  <c r="S543" i="1"/>
  <c r="S223" i="1"/>
  <c r="T223" i="1" s="1"/>
  <c r="S467" i="1"/>
  <c r="S122" i="1"/>
  <c r="T122" i="1" s="1"/>
  <c r="S19" i="1"/>
  <c r="S544" i="1"/>
  <c r="S217" i="1"/>
  <c r="S2" i="1"/>
  <c r="S162" i="1"/>
  <c r="S317" i="1"/>
  <c r="T317" i="1" s="1"/>
  <c r="S107" i="1"/>
  <c r="T107" i="1" s="1"/>
  <c r="S218" i="1"/>
  <c r="S219" i="1"/>
  <c r="S292" i="1"/>
  <c r="S220" i="1"/>
  <c r="S381" i="1"/>
  <c r="T381" i="1" s="1"/>
  <c r="S23" i="1"/>
  <c r="T23" i="1" s="1"/>
  <c r="S293" i="1"/>
  <c r="S517" i="1"/>
  <c r="T517" i="1" s="1"/>
  <c r="S470" i="1"/>
  <c r="T470" i="1" s="1"/>
  <c r="S446" i="1"/>
  <c r="T446" i="1" s="1"/>
  <c r="S222" i="1"/>
  <c r="S82" i="1"/>
  <c r="T82" i="1" s="1"/>
  <c r="S65" i="1"/>
  <c r="T65" i="1" s="1"/>
  <c r="S375" i="1"/>
  <c r="S336" i="1"/>
  <c r="T336" i="1" s="1"/>
  <c r="S376" i="1"/>
  <c r="S568" i="1"/>
  <c r="T568" i="1" s="1"/>
  <c r="S417" i="1"/>
  <c r="T417" i="1" s="1"/>
  <c r="S202" i="1"/>
  <c r="T202" i="1" s="1"/>
  <c r="S186" i="1"/>
  <c r="T186" i="1" s="1"/>
  <c r="S151" i="1"/>
  <c r="T151" i="1" s="1"/>
  <c r="S74" i="1"/>
  <c r="T74" i="1" s="1"/>
  <c r="S295" i="1"/>
  <c r="S379" i="1"/>
  <c r="S474" i="1"/>
  <c r="S296" i="1"/>
  <c r="S475" i="1"/>
  <c r="S163" i="1"/>
  <c r="S476" i="1"/>
  <c r="S252" i="1"/>
  <c r="T252" i="1" s="1"/>
  <c r="S6" i="1"/>
  <c r="S380" i="1"/>
  <c r="S224" i="1"/>
  <c r="S481" i="1"/>
  <c r="T481" i="1" s="1"/>
  <c r="S585" i="1"/>
  <c r="S408" i="1"/>
  <c r="T408" i="1" s="1"/>
  <c r="S9" i="1"/>
  <c r="T9" i="1" s="1"/>
  <c r="S165" i="1"/>
  <c r="S20" i="1"/>
  <c r="S478" i="1"/>
  <c r="S226" i="1"/>
  <c r="S562" i="1"/>
  <c r="T562" i="1" s="1"/>
  <c r="S597" i="1"/>
  <c r="T597" i="1" s="1"/>
  <c r="S571" i="1"/>
  <c r="T571" i="1" s="1"/>
  <c r="S382" i="1"/>
  <c r="S143" i="1"/>
  <c r="T143" i="1" s="1"/>
  <c r="S547" i="1"/>
  <c r="S227" i="1"/>
  <c r="S452" i="1"/>
  <c r="T452" i="1" s="1"/>
  <c r="S541" i="1"/>
  <c r="T541" i="1" s="1"/>
  <c r="S300" i="1"/>
  <c r="S228" i="1"/>
  <c r="S229" i="1"/>
  <c r="S166" i="1"/>
  <c r="T166" i="1" s="1"/>
  <c r="S41" i="1"/>
  <c r="S164" i="1"/>
  <c r="T164" i="1" s="1"/>
  <c r="S533" i="1"/>
  <c r="T533" i="1" s="1"/>
  <c r="S480" i="1"/>
  <c r="S301" i="1"/>
  <c r="S204" i="1"/>
  <c r="T204" i="1" s="1"/>
  <c r="S156" i="1"/>
  <c r="T156" i="1" s="1"/>
  <c r="S388" i="1"/>
  <c r="T388" i="1" s="1"/>
  <c r="S230" i="1"/>
  <c r="S386" i="1"/>
  <c r="S445" i="1"/>
  <c r="T445" i="1" s="1"/>
  <c r="S235" i="1"/>
  <c r="T235" i="1" s="1"/>
  <c r="S141" i="1"/>
  <c r="T141" i="1" s="1"/>
  <c r="S232" i="1"/>
  <c r="S315" i="1"/>
  <c r="T315" i="1" s="1"/>
  <c r="S339" i="1"/>
  <c r="T339" i="1" s="1"/>
  <c r="S303" i="1"/>
  <c r="S432" i="1"/>
  <c r="T432" i="1" s="1"/>
  <c r="S282" i="1"/>
  <c r="T282" i="1" s="1"/>
  <c r="S114" i="1"/>
  <c r="S115" i="1"/>
  <c r="S387" i="1"/>
  <c r="S549" i="1"/>
  <c r="S120" i="1"/>
  <c r="T120" i="1" s="1"/>
  <c r="S255" i="1"/>
  <c r="T255" i="1" s="1"/>
  <c r="S594" i="1"/>
  <c r="T594" i="1" s="1"/>
  <c r="S414" i="1"/>
  <c r="T414" i="1" s="1"/>
  <c r="S367" i="1"/>
  <c r="T367" i="1" s="1"/>
  <c r="S304" i="1"/>
  <c r="T304" i="1" s="1"/>
  <c r="S152" i="1"/>
  <c r="T152" i="1" s="1"/>
  <c r="S390" i="1"/>
  <c r="T390" i="1" s="1"/>
  <c r="S514" i="1"/>
  <c r="T514" i="1" s="1"/>
  <c r="S105" i="1"/>
  <c r="T105" i="1" s="1"/>
  <c r="S26" i="1"/>
  <c r="T26" i="1" s="1"/>
  <c r="S174" i="1"/>
  <c r="T174" i="1" s="1"/>
  <c r="S32" i="1"/>
  <c r="T32" i="1" s="1"/>
  <c r="S254" i="1"/>
  <c r="T254" i="1" s="1"/>
  <c r="S550" i="1"/>
  <c r="S135" i="1"/>
  <c r="T135" i="1" s="1"/>
  <c r="S168" i="1"/>
  <c r="S169" i="1"/>
  <c r="S551" i="1"/>
  <c r="S389" i="1"/>
  <c r="S237" i="1"/>
  <c r="S170" i="1"/>
  <c r="S521" i="1"/>
  <c r="T521" i="1" s="1"/>
  <c r="S117" i="1"/>
  <c r="T117" i="1" s="1"/>
  <c r="S553" i="1"/>
  <c r="T553" i="1" s="1"/>
  <c r="S460" i="1"/>
  <c r="T460" i="1" s="1"/>
  <c r="S172" i="1"/>
  <c r="S397" i="1"/>
  <c r="T397" i="1" s="1"/>
  <c r="S298" i="1"/>
  <c r="T298" i="1" s="1"/>
  <c r="S487" i="1"/>
  <c r="S308" i="1"/>
  <c r="T308" i="1" s="1"/>
  <c r="S238" i="1"/>
  <c r="S392" i="1"/>
  <c r="S173" i="1"/>
  <c r="S7" i="1"/>
  <c r="S306" i="1"/>
  <c r="S305" i="1"/>
  <c r="T305" i="1" s="1"/>
  <c r="S488" i="1"/>
  <c r="S489" i="1"/>
  <c r="S490" i="1"/>
  <c r="S239" i="1"/>
  <c r="S491" i="1"/>
  <c r="S587" i="1"/>
  <c r="S87" i="1"/>
  <c r="T87" i="1" s="1"/>
  <c r="S484" i="1"/>
  <c r="T484" i="1" s="1"/>
  <c r="S212" i="1"/>
  <c r="T212" i="1" s="1"/>
  <c r="S499" i="1"/>
  <c r="T499" i="1" s="1"/>
  <c r="S394" i="1"/>
  <c r="S69" i="1"/>
  <c r="S431" i="1"/>
  <c r="T431" i="1" s="1"/>
  <c r="S554" i="1"/>
  <c r="S307" i="1"/>
  <c r="S555" i="1"/>
  <c r="S492" i="1"/>
  <c r="S70" i="1"/>
  <c r="S176" i="1"/>
  <c r="S128" i="1"/>
  <c r="T128" i="1" s="1"/>
  <c r="S240" i="1"/>
  <c r="S395" i="1"/>
  <c r="S396" i="1"/>
  <c r="S486" i="1"/>
  <c r="T486" i="1" s="1"/>
  <c r="S471" i="1"/>
  <c r="T471" i="1" s="1"/>
  <c r="S309" i="1"/>
  <c r="S493" i="1"/>
  <c r="S158" i="1"/>
  <c r="T158" i="1" s="1"/>
  <c r="S177" i="1"/>
  <c r="S71" i="1"/>
  <c r="S241" i="1"/>
  <c r="S377" i="1"/>
  <c r="T377" i="1" s="1"/>
  <c r="S64" i="1"/>
  <c r="T64" i="1" s="1"/>
  <c r="S231" i="1"/>
  <c r="T231" i="1" s="1"/>
  <c r="S178" i="1"/>
  <c r="S22" i="1"/>
  <c r="T22" i="1" s="1"/>
  <c r="S311" i="1"/>
  <c r="S180" i="1"/>
  <c r="S83" i="1"/>
  <c r="T83" i="1" s="1"/>
  <c r="S40" i="1"/>
  <c r="T40" i="1" s="1"/>
  <c r="S45" i="1"/>
  <c r="S221" i="1"/>
  <c r="T221" i="1" s="1"/>
  <c r="S251" i="1"/>
  <c r="T251" i="1" s="1"/>
  <c r="S106" i="1"/>
  <c r="T106" i="1" s="1"/>
  <c r="S24" i="1"/>
  <c r="S366" i="1"/>
  <c r="T366" i="1" s="1"/>
  <c r="S244" i="1"/>
  <c r="S405" i="1"/>
  <c r="T405" i="1" s="1"/>
  <c r="S398" i="1"/>
  <c r="S399" i="1"/>
  <c r="S124" i="1"/>
  <c r="S73" i="1"/>
  <c r="S589" i="1"/>
  <c r="S449" i="1"/>
  <c r="T449" i="1" s="1"/>
  <c r="S248" i="1"/>
  <c r="T248" i="1" s="1"/>
  <c r="S245" i="1"/>
  <c r="S427" i="1"/>
  <c r="T427" i="1" s="1"/>
  <c r="S125" i="1"/>
  <c r="S314" i="1"/>
  <c r="S243" i="1"/>
  <c r="T243" i="1" s="1"/>
  <c r="S75" i="1"/>
  <c r="S48" i="1"/>
  <c r="S76" i="1"/>
  <c r="S601" i="1"/>
  <c r="T601" i="1" s="1"/>
  <c r="S262" i="1"/>
  <c r="T262" i="1" s="1"/>
  <c r="S495" i="1"/>
  <c r="S49" i="1"/>
  <c r="S246" i="1"/>
  <c r="S153" i="1"/>
  <c r="T153" i="1" s="1"/>
  <c r="S234" i="1"/>
  <c r="T234" i="1" s="1"/>
  <c r="S415" i="1"/>
  <c r="T415" i="1" s="1"/>
  <c r="S420" i="1"/>
  <c r="T420" i="1" s="1"/>
  <c r="S316" i="1"/>
  <c r="S557" i="1"/>
  <c r="S401" i="1"/>
  <c r="S126" i="1"/>
  <c r="S384" i="1"/>
  <c r="T384" i="1" s="1"/>
  <c r="S402" i="1"/>
  <c r="S8" i="1"/>
  <c r="S81" i="1"/>
  <c r="T81" i="1" s="1"/>
  <c r="S147" i="1"/>
  <c r="T147" i="1" s="1"/>
  <c r="S496" i="1"/>
  <c r="S318" i="1"/>
  <c r="S404" i="1"/>
  <c r="S497" i="1"/>
  <c r="S498" i="1"/>
  <c r="S523" i="1"/>
  <c r="T523" i="1" s="1"/>
  <c r="S319" i="1"/>
  <c r="S409" i="1"/>
  <c r="T409" i="1" s="1"/>
  <c r="S44" i="1"/>
  <c r="T44" i="1" s="1"/>
  <c r="S302" i="1"/>
  <c r="T302" i="1" s="1"/>
  <c r="S500" i="1"/>
  <c r="S277" i="1"/>
  <c r="T277" i="1" s="1"/>
  <c r="S104" i="1"/>
  <c r="T104" i="1" s="1"/>
  <c r="S258" i="1"/>
  <c r="T258" i="1" s="1"/>
  <c r="S236" i="1"/>
  <c r="T236" i="1" s="1"/>
  <c r="S448" i="1"/>
  <c r="T448" i="1" s="1"/>
  <c r="S171" i="1"/>
  <c r="T171" i="1" s="1"/>
  <c r="S84" i="1"/>
  <c r="T84" i="1" s="1"/>
  <c r="S299" i="1"/>
  <c r="T299" i="1" s="1"/>
  <c r="S502" i="1"/>
  <c r="S559" i="1"/>
  <c r="S457" i="1"/>
  <c r="T457" i="1" s="1"/>
  <c r="S51" i="1"/>
  <c r="S47" i="1"/>
  <c r="T47" i="1" s="1"/>
  <c r="S118" i="1"/>
  <c r="T118" i="1" s="1"/>
  <c r="S52" i="1"/>
  <c r="S179" i="1"/>
  <c r="T179" i="1" s="1"/>
  <c r="S503" i="1"/>
  <c r="S85" i="1"/>
  <c r="T85" i="1" s="1"/>
  <c r="S80" i="1"/>
  <c r="S148" i="1"/>
  <c r="T148" i="1" s="1"/>
  <c r="S250" i="1"/>
  <c r="S324" i="1"/>
  <c r="S181" i="1"/>
  <c r="T181" i="1" s="1"/>
  <c r="S561" i="1"/>
  <c r="S572" i="1"/>
  <c r="T572" i="1" s="1"/>
  <c r="S12" i="1"/>
  <c r="T12" i="1" s="1"/>
  <c r="S183" i="1"/>
  <c r="T183" i="1" s="1"/>
  <c r="S439" i="1"/>
  <c r="T439" i="1" s="1"/>
  <c r="S233" i="1"/>
  <c r="T233" i="1" s="1"/>
  <c r="S121" i="1"/>
  <c r="T121" i="1" s="1"/>
  <c r="S406" i="1"/>
  <c r="T406" i="1" s="1"/>
  <c r="S430" i="1"/>
  <c r="T430" i="1" s="1"/>
  <c r="S410" i="1"/>
  <c r="S509" i="1"/>
  <c r="T509" i="1" s="1"/>
  <c r="S564" i="1"/>
  <c r="S247" i="1"/>
  <c r="T247" i="1" s="1"/>
  <c r="S21" i="1"/>
  <c r="T21" i="1" s="1"/>
  <c r="S411" i="1"/>
  <c r="S464" i="1"/>
  <c r="T464" i="1" s="1"/>
  <c r="S566" i="1"/>
  <c r="T566" i="1" s="1"/>
  <c r="S53" i="1"/>
  <c r="S412" i="1"/>
  <c r="S265" i="1"/>
  <c r="T265" i="1" s="1"/>
  <c r="S129" i="1"/>
  <c r="S421" i="1"/>
  <c r="T421" i="1" s="1"/>
  <c r="S182" i="1"/>
  <c r="S249" i="1"/>
  <c r="T249" i="1" s="1"/>
  <c r="S506" i="1"/>
  <c r="S507" i="1"/>
  <c r="S197" i="1"/>
  <c r="T197" i="1" s="1"/>
  <c r="S327" i="1"/>
  <c r="S203" i="1"/>
  <c r="T203" i="1" s="1"/>
  <c r="S253" i="1"/>
  <c r="S328" i="1"/>
  <c r="S482" i="1"/>
  <c r="T482" i="1" s="1"/>
  <c r="S131" i="1"/>
  <c r="S413" i="1"/>
  <c r="S539" i="1"/>
  <c r="T539" i="1" s="1"/>
  <c r="S154" i="1"/>
  <c r="T154" i="1" s="1"/>
  <c r="S268" i="1"/>
  <c r="T268" i="1" s="1"/>
  <c r="S130" i="1"/>
  <c r="T130" i="1" s="1"/>
  <c r="S18" i="1"/>
  <c r="T18" i="1" s="1"/>
  <c r="S133" i="1"/>
  <c r="S332" i="1"/>
  <c r="T332" i="1" s="1"/>
  <c r="S444" i="1"/>
  <c r="T444" i="1" s="1"/>
  <c r="S198" i="1"/>
  <c r="T198" i="1" s="1"/>
  <c r="S353" i="1"/>
  <c r="T353" i="1" s="1"/>
  <c r="S54" i="1"/>
  <c r="S416" i="1"/>
  <c r="S348" i="1"/>
  <c r="T348" i="1" s="1"/>
  <c r="S330" i="1"/>
  <c r="S337" i="1"/>
  <c r="T337" i="1" s="1"/>
  <c r="S546" i="1"/>
  <c r="T546" i="1" s="1"/>
  <c r="S25" i="1"/>
  <c r="T25" i="1" s="1"/>
  <c r="S331" i="1"/>
  <c r="S465" i="1"/>
  <c r="T465" i="1" s="1"/>
  <c r="S86" i="1"/>
  <c r="S267" i="1"/>
  <c r="T267" i="1" s="1"/>
  <c r="S565" i="1"/>
  <c r="S10" i="1"/>
  <c r="S458" i="1"/>
  <c r="T458" i="1" s="1"/>
  <c r="S586" i="1"/>
  <c r="T586" i="1" s="1"/>
  <c r="S195" i="1"/>
  <c r="T195" i="1" s="1"/>
  <c r="S132" i="1"/>
  <c r="T132" i="1" s="1"/>
  <c r="S123" i="1"/>
  <c r="T123" i="1" s="1"/>
  <c r="S56" i="1"/>
  <c r="S510" i="1"/>
  <c r="S119" i="1"/>
  <c r="T119" i="1" s="1"/>
  <c r="S511" i="1"/>
  <c r="S512" i="1"/>
  <c r="S429" i="1"/>
  <c r="T429" i="1" s="1"/>
  <c r="S333" i="1"/>
  <c r="S136" i="1"/>
  <c r="S520" i="1"/>
  <c r="T520" i="1" s="1"/>
  <c r="S335" i="1"/>
  <c r="S256" i="1"/>
  <c r="S469" i="1"/>
  <c r="T469" i="1" s="1"/>
  <c r="S591" i="1"/>
  <c r="T591" i="1" s="1"/>
  <c r="S526" i="1"/>
  <c r="T526" i="1" s="1"/>
  <c r="S441" i="1"/>
  <c r="T441" i="1" s="1"/>
  <c r="S242" i="1"/>
  <c r="T242" i="1" s="1"/>
  <c r="S423" i="1"/>
  <c r="S424" i="1"/>
  <c r="S515" i="1"/>
  <c r="S455" i="1"/>
  <c r="T455" i="1" s="1"/>
  <c r="S516" i="1"/>
  <c r="S208" i="1"/>
  <c r="T208" i="1" s="1"/>
  <c r="S27" i="1"/>
  <c r="S184" i="1"/>
  <c r="S340" i="1"/>
  <c r="S185" i="1"/>
  <c r="T3" i="1"/>
  <c r="S134" i="1"/>
  <c r="T134" i="1" s="1"/>
  <c r="S88" i="1"/>
  <c r="S505" i="1"/>
  <c r="T505" i="1" s="1"/>
  <c r="S518" i="1"/>
  <c r="S407" i="1"/>
  <c r="T407" i="1" s="1"/>
  <c r="S116" i="1"/>
  <c r="T116" i="1" s="1"/>
  <c r="S257" i="1"/>
  <c r="S187" i="1"/>
  <c r="S57" i="1"/>
  <c r="S138" i="1"/>
  <c r="S66" i="1"/>
  <c r="T66" i="1" s="1"/>
  <c r="S556" i="1"/>
  <c r="T556" i="1" s="1"/>
  <c r="S563" i="1"/>
  <c r="T563" i="1" s="1"/>
  <c r="S349" i="1"/>
  <c r="T349" i="1" s="1"/>
  <c r="S259" i="1"/>
  <c r="S140" i="1"/>
  <c r="S28" i="1"/>
  <c r="S90" i="1"/>
  <c r="S11" i="1"/>
  <c r="S485" i="1"/>
  <c r="T485" i="1" s="1"/>
  <c r="S146" i="1"/>
  <c r="T146" i="1" s="1"/>
  <c r="S567" i="1"/>
  <c r="S425" i="1"/>
  <c r="S15" i="1"/>
  <c r="T15" i="1" s="1"/>
  <c r="S426" i="1"/>
  <c r="S58" i="1"/>
  <c r="S209" i="1"/>
  <c r="T209" i="1" s="1"/>
  <c r="S588" i="1"/>
  <c r="T588" i="1" s="1"/>
  <c r="S342" i="1"/>
  <c r="S477" i="1"/>
  <c r="T477" i="1" s="1"/>
  <c r="S522" i="1"/>
  <c r="S569" i="1"/>
  <c r="S312" i="1"/>
  <c r="T312" i="1" s="1"/>
  <c r="S261" i="1"/>
  <c r="S188" i="1"/>
  <c r="S91" i="1"/>
  <c r="S383" i="1"/>
  <c r="T383" i="1" s="1"/>
  <c r="S142" i="1"/>
  <c r="S92" i="1"/>
  <c r="S167" i="1"/>
  <c r="T167" i="1" s="1"/>
  <c r="S189" i="1"/>
  <c r="S216" i="1"/>
  <c r="T216" i="1" s="1"/>
  <c r="S344" i="1"/>
  <c r="S422" i="1"/>
  <c r="T422" i="1" s="1"/>
  <c r="S570" i="1"/>
  <c r="S346" i="1"/>
  <c r="S145" i="1"/>
  <c r="T145" i="1" s="1"/>
  <c r="S473" i="1"/>
  <c r="T473" i="1" s="1"/>
  <c r="S525" i="1"/>
  <c r="S558" i="1"/>
  <c r="T558" i="1" s="1"/>
  <c r="S504" i="1"/>
  <c r="T504" i="1" s="1"/>
  <c r="S93" i="1"/>
  <c r="S279" i="1"/>
  <c r="T279" i="1" s="1"/>
  <c r="S428" i="1"/>
  <c r="S144" i="1"/>
  <c r="S43" i="1"/>
  <c r="T43" i="1" s="1"/>
  <c r="S527" i="1"/>
  <c r="S29" i="1"/>
  <c r="S360" i="1"/>
  <c r="T360" i="1" s="1"/>
  <c r="S94" i="1"/>
  <c r="S59" i="1"/>
  <c r="T59" i="1" s="1"/>
  <c r="S175" i="1"/>
  <c r="T175" i="1" s="1"/>
  <c r="S191" i="1"/>
  <c r="S150" i="1"/>
  <c r="T150" i="1" s="1"/>
  <c r="S322" i="1"/>
  <c r="T322" i="1" s="1"/>
  <c r="S528" i="1"/>
  <c r="S351" i="1"/>
  <c r="S14" i="1"/>
  <c r="S264" i="1"/>
  <c r="S494" i="1"/>
  <c r="T494" i="1" s="1"/>
  <c r="S418" i="1"/>
  <c r="T418" i="1" s="1"/>
  <c r="S30" i="1"/>
  <c r="S529" i="1"/>
  <c r="S155" i="1"/>
  <c r="T155" i="1" s="1"/>
  <c r="S95" i="1"/>
  <c r="S343" i="1"/>
  <c r="T343" i="1" s="1"/>
  <c r="S113" i="1"/>
  <c r="T113" i="1" s="1"/>
  <c r="S193" i="1"/>
  <c r="S358" i="1"/>
  <c r="T358" i="1" s="1"/>
  <c r="S434" i="1"/>
  <c r="T434" i="1" s="1"/>
  <c r="S190" i="1"/>
  <c r="T190" i="1" s="1"/>
  <c r="S595" i="1"/>
  <c r="S266" i="1"/>
  <c r="T266" i="1" s="1"/>
  <c r="S530" i="1"/>
  <c r="S355" i="1"/>
  <c r="T355" i="1" s="1"/>
  <c r="S78" i="1"/>
  <c r="T78" i="1" s="1"/>
  <c r="S347" i="1"/>
  <c r="T347" i="1" s="1"/>
  <c r="S532" i="1"/>
  <c r="S290" i="1"/>
  <c r="T290" i="1" s="1"/>
  <c r="S320" i="1"/>
  <c r="T320" i="1" s="1"/>
  <c r="S96" i="1"/>
  <c r="T96" i="1" s="1"/>
  <c r="S575" i="1"/>
  <c r="T575" i="1" s="1"/>
  <c r="S269" i="1"/>
  <c r="S97" i="1"/>
  <c r="S275" i="1"/>
  <c r="T275" i="1" s="1"/>
  <c r="S137" i="1"/>
  <c r="T137" i="1" s="1"/>
  <c r="S194" i="1"/>
  <c r="S433" i="1"/>
  <c r="S483" i="1"/>
  <c r="T483" i="1" s="1"/>
  <c r="S263" i="1"/>
  <c r="T263" i="1" s="1"/>
  <c r="S362" i="1"/>
  <c r="T362" i="1" s="1"/>
  <c r="S50" i="1"/>
  <c r="T50" i="1" s="1"/>
  <c r="S593" i="1"/>
  <c r="T593" i="1" s="1"/>
  <c r="S139" i="1"/>
  <c r="T139" i="1" s="1"/>
  <c r="S435" i="1"/>
  <c r="S436" i="1"/>
  <c r="S378" i="1"/>
  <c r="T378" i="1" s="1"/>
  <c r="S55" i="1"/>
  <c r="T55" i="1" s="1"/>
  <c r="S98" i="1"/>
  <c r="S334" i="1"/>
  <c r="T334" i="1" s="1"/>
  <c r="S437" i="1"/>
  <c r="S438" i="1"/>
  <c r="S573" i="1"/>
  <c r="S356" i="1"/>
  <c r="S592" i="1"/>
  <c r="T592" i="1" s="1"/>
  <c r="S271" i="1"/>
  <c r="S440" i="1"/>
  <c r="S149" i="1"/>
  <c r="S99" i="1"/>
  <c r="S357" i="1"/>
  <c r="S419" i="1"/>
  <c r="T419" i="1" s="1"/>
  <c r="S211" i="1"/>
  <c r="T211" i="1" s="1"/>
  <c r="S60" i="1"/>
  <c r="S196" i="1"/>
  <c r="S352" i="1"/>
  <c r="T352" i="1" s="1"/>
  <c r="S574" i="1"/>
  <c r="S393" i="1"/>
  <c r="T393" i="1" s="1"/>
  <c r="S536" i="1"/>
  <c r="T536" i="1" s="1"/>
  <c r="S67" i="1"/>
  <c r="T67" i="1" s="1"/>
  <c r="S100" i="1"/>
  <c r="S531" i="1"/>
  <c r="T531" i="1" s="1"/>
  <c r="S16" i="1"/>
  <c r="S62" i="1"/>
  <c r="S534" i="1"/>
  <c r="S535" i="1"/>
  <c r="S294" i="1"/>
  <c r="T294" i="1" s="1"/>
  <c r="S359" i="1"/>
  <c r="S560" i="1"/>
  <c r="T560" i="1" s="1"/>
  <c r="S77" i="1"/>
  <c r="T77" i="1" s="1"/>
  <c r="S272" i="1"/>
  <c r="S479" i="1"/>
  <c r="T479" i="1" s="1"/>
  <c r="S442" i="1"/>
  <c r="S576" i="1"/>
  <c r="S273" i="1"/>
  <c r="S101" i="1"/>
  <c r="S443" i="1"/>
  <c r="S31" i="1"/>
  <c r="S291" i="1"/>
  <c r="T291" i="1" s="1"/>
  <c r="S577" i="1"/>
  <c r="S598" i="1"/>
  <c r="S260" i="1"/>
  <c r="T260" i="1" s="1"/>
  <c r="S578" i="1"/>
  <c r="S501" i="1"/>
  <c r="T501" i="1" s="1"/>
  <c r="S201" i="1"/>
  <c r="T201" i="1" s="1"/>
  <c r="S361" i="1"/>
  <c r="S537" i="1"/>
  <c r="S225" i="1"/>
  <c r="T225" i="1" s="1"/>
  <c r="S538" i="1"/>
  <c r="S468" i="1"/>
  <c r="T468" i="1" s="1"/>
  <c r="S274" i="1"/>
  <c r="S61" i="1"/>
  <c r="T61" i="1" s="1"/>
  <c r="S214" i="1"/>
  <c r="T214" i="1" s="1"/>
  <c r="S4" i="1"/>
  <c r="S363" i="1"/>
  <c r="S354" i="1"/>
  <c r="T354" i="1" s="1"/>
  <c r="S199" i="1"/>
  <c r="S200" i="1"/>
  <c r="S102" i="1"/>
  <c r="S205" i="1"/>
  <c r="T205" i="1" s="1"/>
  <c r="S599" i="1"/>
  <c r="S63" i="1"/>
  <c r="S192" i="1"/>
  <c r="T192" i="1" s="1"/>
  <c r="S579" i="1"/>
  <c r="S325" i="1"/>
  <c r="T325" i="1" s="1"/>
  <c r="S447" i="1"/>
  <c r="S310" i="1"/>
  <c r="T310" i="1" s="1"/>
  <c r="S580" i="1"/>
  <c r="S385" i="1"/>
  <c r="T385" i="1" s="1"/>
  <c r="S519" i="1"/>
  <c r="T519" i="1" s="1"/>
  <c r="S33" i="1"/>
  <c r="S17" i="1"/>
  <c r="S72" i="1"/>
  <c r="T72" i="1" s="1"/>
  <c r="S364" i="1"/>
  <c r="S365" i="1"/>
  <c r="S297" i="1"/>
  <c r="T297" i="1" s="1"/>
  <c r="S600" i="1"/>
  <c r="T600" i="1" s="1"/>
  <c r="S540" i="1"/>
  <c r="S581" i="1"/>
  <c r="T581" i="1" s="1"/>
  <c r="S472" i="1"/>
  <c r="T472" i="1" s="1"/>
  <c r="S276" i="1"/>
  <c r="S345" i="1"/>
  <c r="T345" i="1" s="1"/>
  <c r="S329" i="1"/>
  <c r="T329" i="1" s="1"/>
  <c r="S450" i="1"/>
  <c r="S321" i="1"/>
  <c r="T321" i="1" s="1"/>
  <c r="S13" i="1"/>
  <c r="T13" i="1" s="1"/>
  <c r="S590" i="1"/>
  <c r="T590" i="1" s="1"/>
  <c r="S451" i="1"/>
  <c r="S545" i="1"/>
  <c r="T545" i="1" s="1"/>
  <c r="S583" i="1"/>
  <c r="S453" i="1"/>
  <c r="S368" i="1"/>
  <c r="S372" i="1"/>
  <c r="T372" i="1" s="1"/>
  <c r="S508" i="1"/>
  <c r="T508" i="1" s="1"/>
  <c r="S42" i="1"/>
  <c r="T42" i="1" s="1"/>
  <c r="S391" i="1"/>
  <c r="T391" i="1" s="1"/>
  <c r="S157" i="1"/>
  <c r="S278" i="1"/>
  <c r="S280" i="1"/>
  <c r="T280" i="1" s="1"/>
  <c r="S454" i="1"/>
  <c r="S206" i="1"/>
  <c r="S207" i="1"/>
  <c r="S79" i="1"/>
  <c r="T79" i="1" s="1"/>
</calcChain>
</file>

<file path=xl/sharedStrings.xml><?xml version="1.0" encoding="utf-8"?>
<sst xmlns="http://schemas.openxmlformats.org/spreadsheetml/2006/main" count="7927" uniqueCount="1105">
  <si>
    <t>Finding_ID</t>
  </si>
  <si>
    <t>Asset</t>
  </si>
  <si>
    <t>Asset_Type</t>
  </si>
  <si>
    <t>Product</t>
  </si>
  <si>
    <t>CVE</t>
  </si>
  <si>
    <t>Vulnerability_Type</t>
  </si>
  <si>
    <t>CVSS</t>
  </si>
  <si>
    <t>EPSS</t>
  </si>
  <si>
    <t>CISA_KEV</t>
  </si>
  <si>
    <t>Exposure</t>
  </si>
  <si>
    <t>Environment</t>
  </si>
  <si>
    <t>Department</t>
  </si>
  <si>
    <t>Owner</t>
  </si>
  <si>
    <t>Discovered_Date</t>
  </si>
  <si>
    <t>SLA_Due_Date</t>
  </si>
  <si>
    <t>Status</t>
  </si>
  <si>
    <t>Remediated_Date</t>
  </si>
  <si>
    <t>Internet_Exposed</t>
  </si>
  <si>
    <t>Risk_Score</t>
  </si>
  <si>
    <t>Priority</t>
  </si>
  <si>
    <t>VULN-0067</t>
  </si>
  <si>
    <t>LIN-030</t>
  </si>
  <si>
    <t>Linux Server</t>
  </si>
  <si>
    <t>Jenkins</t>
  </si>
  <si>
    <t>CVE-2024-3094</t>
  </si>
  <si>
    <t>Supply Chain / Backdoor</t>
  </si>
  <si>
    <t>Yes</t>
  </si>
  <si>
    <t>Internet-facing</t>
  </si>
  <si>
    <t>Production</t>
  </si>
  <si>
    <t>Engineering</t>
  </si>
  <si>
    <t>Diego Alves</t>
  </si>
  <si>
    <t>Mitigated</t>
  </si>
  <si>
    <t>VULN-0388</t>
  </si>
  <si>
    <t>WEB-009</t>
  </si>
  <si>
    <t>Web Server</t>
  </si>
  <si>
    <t>Microsoft SQL Server</t>
  </si>
  <si>
    <t>CVE-2026-1847</t>
  </si>
  <si>
    <t>Remote Code Execution</t>
  </si>
  <si>
    <t>No</t>
  </si>
  <si>
    <t>Internal</t>
  </si>
  <si>
    <t>Finance</t>
  </si>
  <si>
    <t>Bruno Lima</t>
  </si>
  <si>
    <t>Open</t>
  </si>
  <si>
    <t>VULN-0551</t>
  </si>
  <si>
    <t>FIR-113</t>
  </si>
  <si>
    <t>Firewall</t>
  </si>
  <si>
    <t>GitLab</t>
  </si>
  <si>
    <t>CVE-2021-44228</t>
  </si>
  <si>
    <t>Operations</t>
  </si>
  <si>
    <t>Henrique Dias</t>
  </si>
  <si>
    <t>In Progress</t>
  </si>
  <si>
    <t>VULN-0048</t>
  </si>
  <si>
    <t>LIN-101</t>
  </si>
  <si>
    <t>Apache HTTP Server</t>
  </si>
  <si>
    <t>HR</t>
  </si>
  <si>
    <t>Elisa Rocha</t>
  </si>
  <si>
    <t>VULN-0101</t>
  </si>
  <si>
    <t>DAT-058</t>
  </si>
  <si>
    <t>Database</t>
  </si>
  <si>
    <t>Windows Server</t>
  </si>
  <si>
    <t>Corporate</t>
  </si>
  <si>
    <t>VULN-0182</t>
  </si>
  <si>
    <t>DAT-009</t>
  </si>
  <si>
    <t>Confluence</t>
  </si>
  <si>
    <t>CVE-2024-21413</t>
  </si>
  <si>
    <t>Carla Mendes</t>
  </si>
  <si>
    <t>VULN-0263</t>
  </si>
  <si>
    <t>WIN-079</t>
  </si>
  <si>
    <t>VULN-0107</t>
  </si>
  <si>
    <t>LIN-087</t>
  </si>
  <si>
    <t>CVE-2023-23397</t>
  </si>
  <si>
    <t>Privilege Escalation</t>
  </si>
  <si>
    <t>Ana Costa</t>
  </si>
  <si>
    <t>VULN-0356</t>
  </si>
  <si>
    <t>WEB-018</t>
  </si>
  <si>
    <t>Sales</t>
  </si>
  <si>
    <t>Felipe Martins</t>
  </si>
  <si>
    <t>VULN-0407</t>
  </si>
  <si>
    <t>WOR-059</t>
  </si>
  <si>
    <t>Workstation</t>
  </si>
  <si>
    <t>IT</t>
  </si>
  <si>
    <t>João Ribeiro</t>
  </si>
  <si>
    <t>VULN-0302</t>
  </si>
  <si>
    <t>FIR-078</t>
  </si>
  <si>
    <t>PostgreSQL</t>
  </si>
  <si>
    <t>VULN-0583</t>
  </si>
  <si>
    <t>WEB-082</t>
  </si>
  <si>
    <t>Development</t>
  </si>
  <si>
    <t>VULN-0456</t>
  </si>
  <si>
    <t>DAT-072</t>
  </si>
  <si>
    <t>Linux Kernel</t>
  </si>
  <si>
    <t>Risk Accepted</t>
  </si>
  <si>
    <t>VULN-0412</t>
  </si>
  <si>
    <t>FIR-039</t>
  </si>
  <si>
    <t>VULN-0520</t>
  </si>
  <si>
    <t>FIR-047</t>
  </si>
  <si>
    <t>Larissa Freitas</t>
  </si>
  <si>
    <t>VULN-0569</t>
  </si>
  <si>
    <t>WEB-075</t>
  </si>
  <si>
    <t>Legal</t>
  </si>
  <si>
    <t>Marcos Teixeira</t>
  </si>
  <si>
    <t>Closed</t>
  </si>
  <si>
    <t>VULN-0338</t>
  </si>
  <si>
    <t>DAT-087</t>
  </si>
  <si>
    <t>OpenSSH</t>
  </si>
  <si>
    <t>VULN-0064</t>
  </si>
  <si>
    <t>DAT-079</t>
  </si>
  <si>
    <t>VULN-0109</t>
  </si>
  <si>
    <t>DAT-045</t>
  </si>
  <si>
    <t>FortiOS</t>
  </si>
  <si>
    <t>Restricted</t>
  </si>
  <si>
    <t>VULN-0313</t>
  </si>
  <si>
    <t>WEB-105</t>
  </si>
  <si>
    <t>VMware ESXi</t>
  </si>
  <si>
    <t>VULN-0220</t>
  </si>
  <si>
    <t>FIR-057</t>
  </si>
  <si>
    <t>CVE-2024-6387</t>
  </si>
  <si>
    <t>VULN-0076</t>
  </si>
  <si>
    <t>LIN-061</t>
  </si>
  <si>
    <t>CVE-2022-30190</t>
  </si>
  <si>
    <t>VULN-0229</t>
  </si>
  <si>
    <t>LIN-031</t>
  </si>
  <si>
    <t>Microsoft Exchange</t>
  </si>
  <si>
    <t>VULN-0350</t>
  </si>
  <si>
    <t>FIR-079</t>
  </si>
  <si>
    <t>CVE-2025-3021</t>
  </si>
  <si>
    <t>SQL Injection</t>
  </si>
  <si>
    <t>VULN-0158</t>
  </si>
  <si>
    <t>DAT-114</t>
  </si>
  <si>
    <t>Gabriela Souza</t>
  </si>
  <si>
    <t>VULN-0384</t>
  </si>
  <si>
    <t>WEB-077</t>
  </si>
  <si>
    <t>Isabela Nunes</t>
  </si>
  <si>
    <t>VULN-0405</t>
  </si>
  <si>
    <t>FIR-049</t>
  </si>
  <si>
    <t>VULN-0446</t>
  </si>
  <si>
    <t>WOR-001</t>
  </si>
  <si>
    <t>VULN-0460</t>
  </si>
  <si>
    <t>LIN-036</t>
  </si>
  <si>
    <t>VULN-0535</t>
  </si>
  <si>
    <t>FIR-072</t>
  </si>
  <si>
    <t>VULN-0160</t>
  </si>
  <si>
    <t>CVE-2026-2173</t>
  </si>
  <si>
    <t>VULN-0568</t>
  </si>
  <si>
    <t>LIN-034</t>
  </si>
  <si>
    <t>VULN-0059</t>
  </si>
  <si>
    <t>CVE-2025-7710</t>
  </si>
  <si>
    <t>Path Traversal</t>
  </si>
  <si>
    <t>VULN-0028</t>
  </si>
  <si>
    <t>DAT-053</t>
  </si>
  <si>
    <t>VULN-0031</t>
  </si>
  <si>
    <t>LIN-022</t>
  </si>
  <si>
    <t>VULN-0045</t>
  </si>
  <si>
    <t>WEB-019</t>
  </si>
  <si>
    <t>VULN-0055</t>
  </si>
  <si>
    <t>DAT-042</t>
  </si>
  <si>
    <t>VULN-0027</t>
  </si>
  <si>
    <t>WEB-074</t>
  </si>
  <si>
    <t>VULN-0224</t>
  </si>
  <si>
    <t>LIN-068</t>
  </si>
  <si>
    <t>VULN-0125</t>
  </si>
  <si>
    <t>WEB-005</t>
  </si>
  <si>
    <t>VULN-0592</t>
  </si>
  <si>
    <t>LIN-001</t>
  </si>
  <si>
    <t>VULN-0444</t>
  </si>
  <si>
    <t>WIN-043</t>
  </si>
  <si>
    <t>VULN-0274</t>
  </si>
  <si>
    <t>DAT-031</t>
  </si>
  <si>
    <t>VULN-0225</t>
  </si>
  <si>
    <t>FIR-024</t>
  </si>
  <si>
    <t>VULN-0056</t>
  </si>
  <si>
    <t>WEB-039</t>
  </si>
  <si>
    <t>VULN-0289</t>
  </si>
  <si>
    <t>WOR-020</t>
  </si>
  <si>
    <t>VULN-0246</t>
  </si>
  <si>
    <t>WOR-098</t>
  </si>
  <si>
    <t>VULN-0251</t>
  </si>
  <si>
    <t>WEB-069</t>
  </si>
  <si>
    <t>VULN-0490</t>
  </si>
  <si>
    <t>WEB-025</t>
  </si>
  <si>
    <t>VULN-0288</t>
  </si>
  <si>
    <t>VULN-0291</t>
  </si>
  <si>
    <t>FIR-006</t>
  </si>
  <si>
    <t>VULN-0317</t>
  </si>
  <si>
    <t>FIR-002</t>
  </si>
  <si>
    <t>VULN-0344</t>
  </si>
  <si>
    <t>WOR-051</t>
  </si>
  <si>
    <t>VULN-0496</t>
  </si>
  <si>
    <t>WEB-080</t>
  </si>
  <si>
    <t>VULN-0362</t>
  </si>
  <si>
    <t>WIN-098</t>
  </si>
  <si>
    <t>VULN-0397</t>
  </si>
  <si>
    <t>DAT-110</t>
  </si>
  <si>
    <t>VULN-0414</t>
  </si>
  <si>
    <t>LIN-004</t>
  </si>
  <si>
    <t>VULN-0449</t>
  </si>
  <si>
    <t>LIN-058</t>
  </si>
  <si>
    <t>VULN-0511</t>
  </si>
  <si>
    <t>DAT-015</t>
  </si>
  <si>
    <t>VULN-0549</t>
  </si>
  <si>
    <t>LIN-099</t>
  </si>
  <si>
    <t>CVE-2023-34362</t>
  </si>
  <si>
    <t>Command Injection</t>
  </si>
  <si>
    <t>VULN-0521</t>
  </si>
  <si>
    <t>WEB-048</t>
  </si>
  <si>
    <t>VULN-0559</t>
  </si>
  <si>
    <t>LIN-096</t>
  </si>
  <si>
    <t>VULN-0217</t>
  </si>
  <si>
    <t>VULN-0083</t>
  </si>
  <si>
    <t>WEB-100</t>
  </si>
  <si>
    <t>VULN-0399</t>
  </si>
  <si>
    <t>WIN-071</t>
  </si>
  <si>
    <t>VULN-0517</t>
  </si>
  <si>
    <t>WIN-064</t>
  </si>
  <si>
    <t>VULN-0043</t>
  </si>
  <si>
    <t>WOR-099</t>
  </si>
  <si>
    <t>CVE-2025-4912</t>
  </si>
  <si>
    <t>Authentication Bypass</t>
  </si>
  <si>
    <t>VULN-0196</t>
  </si>
  <si>
    <t>DAT-006</t>
  </si>
  <si>
    <t>VULN-0202</t>
  </si>
  <si>
    <t>VULN-0214</t>
  </si>
  <si>
    <t>LIN-009</t>
  </si>
  <si>
    <t>VULN-0570</t>
  </si>
  <si>
    <t>DAT-029</t>
  </si>
  <si>
    <t>VULN-0236</t>
  </si>
  <si>
    <t>FIR-080</t>
  </si>
  <si>
    <t>VULN-0092</t>
  </si>
  <si>
    <t>WEB-098</t>
  </si>
  <si>
    <t>VULN-0245</t>
  </si>
  <si>
    <t>FIR-087</t>
  </si>
  <si>
    <t>VULN-0247</t>
  </si>
  <si>
    <t>WOR-010</t>
  </si>
  <si>
    <t>VULN-0527</t>
  </si>
  <si>
    <t>DAT-054</t>
  </si>
  <si>
    <t>VULN-0474</t>
  </si>
  <si>
    <t>WIN-001</t>
  </si>
  <si>
    <t>VULN-0600</t>
  </si>
  <si>
    <t>WOR-011</t>
  </si>
  <si>
    <t>VULN-0295</t>
  </si>
  <si>
    <t>FIR-086</t>
  </si>
  <si>
    <t>VULN-0264</t>
  </si>
  <si>
    <t>LIN-007</t>
  </si>
  <si>
    <t>VULN-0082</t>
  </si>
  <si>
    <t>WOR-082</t>
  </si>
  <si>
    <t>VULN-0223</t>
  </si>
  <si>
    <t>VULN-0283</t>
  </si>
  <si>
    <t>LIN-075</t>
  </si>
  <si>
    <t>VULN-0294</t>
  </si>
  <si>
    <t>WEB-076</t>
  </si>
  <si>
    <t>VULN-0353</t>
  </si>
  <si>
    <t>VULN-0191</t>
  </si>
  <si>
    <t>WEB-049</t>
  </si>
  <si>
    <t>VULN-0390</t>
  </si>
  <si>
    <t>VULN-0015</t>
  </si>
  <si>
    <t>WIN-020</t>
  </si>
  <si>
    <t>VULN-0406</t>
  </si>
  <si>
    <t>WIN-019</t>
  </si>
  <si>
    <t>VULN-0424</t>
  </si>
  <si>
    <t>WOR-008</t>
  </si>
  <si>
    <t>VULN-0427</t>
  </si>
  <si>
    <t>FIR-046</t>
  </si>
  <si>
    <t>VULN-0440</t>
  </si>
  <si>
    <t>WOR-070</t>
  </si>
  <si>
    <t>VULN-0448</t>
  </si>
  <si>
    <t>DAT-061</t>
  </si>
  <si>
    <t>VULN-0463</t>
  </si>
  <si>
    <t>FIR-054</t>
  </si>
  <si>
    <t>VULN-0479</t>
  </si>
  <si>
    <t>FIR-092</t>
  </si>
  <si>
    <t>VULN-0482</t>
  </si>
  <si>
    <t>WOR-029</t>
  </si>
  <si>
    <t>VULN-0497</t>
  </si>
  <si>
    <t>FIR-015</t>
  </si>
  <si>
    <t>VULN-0507</t>
  </si>
  <si>
    <t>WOR-115</t>
  </si>
  <si>
    <t>VULN-0518</t>
  </si>
  <si>
    <t>WIN-102</t>
  </si>
  <si>
    <t>VULN-0533</t>
  </si>
  <si>
    <t>WIN-004</t>
  </si>
  <si>
    <t>VULN-0556</t>
  </si>
  <si>
    <t>WIN-037</t>
  </si>
  <si>
    <t>VULN-0020</t>
  </si>
  <si>
    <t>VULN-0278</t>
  </si>
  <si>
    <t>WEB-117</t>
  </si>
  <si>
    <t>VULN-0157</t>
  </si>
  <si>
    <t>VULN-0228</t>
  </si>
  <si>
    <t>LIN-092</t>
  </si>
  <si>
    <t>VULN-0070</t>
  </si>
  <si>
    <t>LIN-035</t>
  </si>
  <si>
    <t>VULN-0011</t>
  </si>
  <si>
    <t>WOR-108</t>
  </si>
  <si>
    <t>VULN-0024</t>
  </si>
  <si>
    <t>FIR-048</t>
  </si>
  <si>
    <t>VULN-0038</t>
  </si>
  <si>
    <t>DAT-080</t>
  </si>
  <si>
    <t>VULN-0042</t>
  </si>
  <si>
    <t>DAT-033</t>
  </si>
  <si>
    <t>VULN-0054</t>
  </si>
  <si>
    <t>WIN-086</t>
  </si>
  <si>
    <t>VULN-0465</t>
  </si>
  <si>
    <t>WEB-113</t>
  </si>
  <si>
    <t>VULN-0144</t>
  </si>
  <si>
    <t>WIN-031</t>
  </si>
  <si>
    <t>VULN-0145</t>
  </si>
  <si>
    <t>FIR-013</t>
  </si>
  <si>
    <t>VULN-0394</t>
  </si>
  <si>
    <t>WOR-067</t>
  </si>
  <si>
    <t>VULN-0171</t>
  </si>
  <si>
    <t>VULN-0290</t>
  </si>
  <si>
    <t>VULN-0364</t>
  </si>
  <si>
    <t>FIR-076</t>
  </si>
  <si>
    <t>VULN-0148</t>
  </si>
  <si>
    <t>WOR-032</t>
  </si>
  <si>
    <t>VULN-0306</t>
  </si>
  <si>
    <t>LIN-026</t>
  </si>
  <si>
    <t>VULN-0063</t>
  </si>
  <si>
    <t>WIN-059</t>
  </si>
  <si>
    <t>VULN-0361</t>
  </si>
  <si>
    <t>WEB-015</t>
  </si>
  <si>
    <t>VULN-0235</t>
  </si>
  <si>
    <t>WEB-012</t>
  </si>
  <si>
    <t>VULN-0242</t>
  </si>
  <si>
    <t>WIN-038</t>
  </si>
  <si>
    <t>VULN-0260</t>
  </si>
  <si>
    <t>FIR-063</t>
  </si>
  <si>
    <t>VULN-0037</t>
  </si>
  <si>
    <t>LIN-086</t>
  </si>
  <si>
    <t>VULN-0204</t>
  </si>
  <si>
    <t>WOR-120</t>
  </si>
  <si>
    <t>VULN-0320</t>
  </si>
  <si>
    <t>VULN-0337</t>
  </si>
  <si>
    <t>DAT-091</t>
  </si>
  <si>
    <t>VULN-0332</t>
  </si>
  <si>
    <t>VULN-0360</t>
  </si>
  <si>
    <t>WIN-036</t>
  </si>
  <si>
    <t>VULN-0339</t>
  </si>
  <si>
    <t>DAT-102</t>
  </si>
  <si>
    <t>VULN-0389</t>
  </si>
  <si>
    <t>WOR-081</t>
  </si>
  <si>
    <t>VULN-0163</t>
  </si>
  <si>
    <t>WIN-074</t>
  </si>
  <si>
    <t>VULN-0369</t>
  </si>
  <si>
    <t>DAT-049</t>
  </si>
  <si>
    <t>VULN-0484</t>
  </si>
  <si>
    <t>LIN-065</t>
  </si>
  <si>
    <t>VULN-0398</t>
  </si>
  <si>
    <t>WEB-001</t>
  </si>
  <si>
    <t>VULN-0492</t>
  </si>
  <si>
    <t>WIN-106</t>
  </si>
  <si>
    <t>VULN-0404</t>
  </si>
  <si>
    <t>WIN-120</t>
  </si>
  <si>
    <t>VULN-0137</t>
  </si>
  <si>
    <t>LIN-017</t>
  </si>
  <si>
    <t>VULN-0426</t>
  </si>
  <si>
    <t>DAT-046</t>
  </si>
  <si>
    <t>VULN-0116</t>
  </si>
  <si>
    <t>FIR-038</t>
  </si>
  <si>
    <t>VULN-0443</t>
  </si>
  <si>
    <t>WEB-079</t>
  </si>
  <si>
    <t>VULN-0435</t>
  </si>
  <si>
    <t>LIN-094</t>
  </si>
  <si>
    <t>VULN-0409</t>
  </si>
  <si>
    <t>DAT-090</t>
  </si>
  <si>
    <t>VULN-0265</t>
  </si>
  <si>
    <t>VULN-0296</t>
  </si>
  <si>
    <t>LIN-097</t>
  </si>
  <si>
    <t>VULN-0506</t>
  </si>
  <si>
    <t>FIR-041</t>
  </si>
  <si>
    <t>VULN-0452</t>
  </si>
  <si>
    <t>FIR-111</t>
  </si>
  <si>
    <t>VULN-0091</t>
  </si>
  <si>
    <t>WIN-096</t>
  </si>
  <si>
    <t>VULN-0154</t>
  </si>
  <si>
    <t>DAT-109</t>
  </si>
  <si>
    <t>VULN-0253</t>
  </si>
  <si>
    <t>WIN-075</t>
  </si>
  <si>
    <t>VULN-0335</t>
  </si>
  <si>
    <t>WOR-023</t>
  </si>
  <si>
    <t>VULN-0462</t>
  </si>
  <si>
    <t>VULN-0131</t>
  </si>
  <si>
    <t>VULN-0594</t>
  </si>
  <si>
    <t>WEB-055</t>
  </si>
  <si>
    <t>VULN-0212</t>
  </si>
  <si>
    <t>WIN-045</t>
  </si>
  <si>
    <t>VULN-0029</t>
  </si>
  <si>
    <t>LIN-069</t>
  </si>
  <si>
    <t>VULN-0032</t>
  </si>
  <si>
    <t>DAT-034</t>
  </si>
  <si>
    <t>VULN-0036</t>
  </si>
  <si>
    <t>FIR-075</t>
  </si>
  <si>
    <t>VULN-0068</t>
  </si>
  <si>
    <t>WIN-027</t>
  </si>
  <si>
    <t>VULN-0098</t>
  </si>
  <si>
    <t>WEB-102</t>
  </si>
  <si>
    <t>VULN-0126</t>
  </si>
  <si>
    <t>FIR-091</t>
  </si>
  <si>
    <t>VULN-0108</t>
  </si>
  <si>
    <t>WEB-084</t>
  </si>
  <si>
    <t>VULN-0124</t>
  </si>
  <si>
    <t>WOR-110</t>
  </si>
  <si>
    <t>VULN-0428</t>
  </si>
  <si>
    <t>DAT-005</t>
  </si>
  <si>
    <t>VULN-0164</t>
  </si>
  <si>
    <t>VULN-0165</t>
  </si>
  <si>
    <t>WEB-099</t>
  </si>
  <si>
    <t>VULN-0169</t>
  </si>
  <si>
    <t>VULN-0282</t>
  </si>
  <si>
    <t>WIN-072</t>
  </si>
  <si>
    <t>VULN-0174</t>
  </si>
  <si>
    <t>DAT-111</t>
  </si>
  <si>
    <t>VULN-0181</t>
  </si>
  <si>
    <t>VULN-0159</t>
  </si>
  <si>
    <t>VULN-0450</t>
  </si>
  <si>
    <t>WOR-073</t>
  </si>
  <si>
    <t>VULN-0203</t>
  </si>
  <si>
    <t>DAT-007</t>
  </si>
  <si>
    <t>VULN-0213</t>
  </si>
  <si>
    <t>VULN-0219</t>
  </si>
  <si>
    <t>WIN-011</t>
  </si>
  <si>
    <t>VULN-0292</t>
  </si>
  <si>
    <t>WEB-038</t>
  </si>
  <si>
    <t>VULN-0222</t>
  </si>
  <si>
    <t>LIN-109</t>
  </si>
  <si>
    <t>VULN-0299</t>
  </si>
  <si>
    <t>WOR-049</t>
  </si>
  <si>
    <t>VULN-0322</t>
  </si>
  <si>
    <t>WIN-044</t>
  </si>
  <si>
    <t>VULN-0303</t>
  </si>
  <si>
    <t>DAT-069</t>
  </si>
  <si>
    <t>VULN-0385</t>
  </si>
  <si>
    <t>WEB-078</t>
  </si>
  <si>
    <t>VULN-0387</t>
  </si>
  <si>
    <t>WOR-017</t>
  </si>
  <si>
    <t>VULN-0090</t>
  </si>
  <si>
    <t>FIR-059</t>
  </si>
  <si>
    <t>VULN-0396</t>
  </si>
  <si>
    <t>FIR-074</t>
  </si>
  <si>
    <t>VULN-0423</t>
  </si>
  <si>
    <t>WEB-065</t>
  </si>
  <si>
    <t>VULN-0429</t>
  </si>
  <si>
    <t>DAT-001</t>
  </si>
  <si>
    <t>VULN-0469</t>
  </si>
  <si>
    <t>WIN-050</t>
  </si>
  <si>
    <t>VULN-0451</t>
  </si>
  <si>
    <t>WEB-030</t>
  </si>
  <si>
    <t>VULN-0560</t>
  </si>
  <si>
    <t>LIN-029</t>
  </si>
  <si>
    <t>VULN-0466</t>
  </si>
  <si>
    <t>VULN-0485</t>
  </si>
  <si>
    <t>LIN-018</t>
  </si>
  <si>
    <t>VULN-0359</t>
  </si>
  <si>
    <t>VULN-0512</t>
  </si>
  <si>
    <t>VULN-0326</t>
  </si>
  <si>
    <t>WOR-014</t>
  </si>
  <si>
    <t>VULN-0342</t>
  </si>
  <si>
    <t>VULN-0554</t>
  </si>
  <si>
    <t>WOR-003</t>
  </si>
  <si>
    <t>VULN-0555</t>
  </si>
  <si>
    <t>WIN-046</t>
  </si>
  <si>
    <t>VULN-0542</t>
  </si>
  <si>
    <t>WEB-071</t>
  </si>
  <si>
    <t>VULN-0089</t>
  </si>
  <si>
    <t>VULN-0328</t>
  </si>
  <si>
    <t>WIN-012</t>
  </si>
  <si>
    <t>VULN-0130</t>
  </si>
  <si>
    <t>DAT-116</t>
  </si>
  <si>
    <t>VULN-0557</t>
  </si>
  <si>
    <t>VULN-0598</t>
  </si>
  <si>
    <t>VULN-0599</t>
  </si>
  <si>
    <t>VULN-0383</t>
  </si>
  <si>
    <t>WOR-102</t>
  </si>
  <si>
    <t>VULN-0415</t>
  </si>
  <si>
    <t>LIN-016</t>
  </si>
  <si>
    <t>VULN-0018</t>
  </si>
  <si>
    <t>WOR-056</t>
  </si>
  <si>
    <t>VULN-0510</t>
  </si>
  <si>
    <t>WEB-087</t>
  </si>
  <si>
    <t>VULN-0193</t>
  </si>
  <si>
    <t>VULN-0033</t>
  </si>
  <si>
    <t>WOR-028</t>
  </si>
  <si>
    <t>VULN-0550</t>
  </si>
  <si>
    <t>FIR-100</t>
  </si>
  <si>
    <t>VULN-0053</t>
  </si>
  <si>
    <t>VULN-0430</t>
  </si>
  <si>
    <t>VULN-0066</t>
  </si>
  <si>
    <t>VULN-0071</t>
  </si>
  <si>
    <t>LIN-108</t>
  </si>
  <si>
    <t>VULN-0072</t>
  </si>
  <si>
    <t>FIR-055</t>
  </si>
  <si>
    <t>VULN-0074</t>
  </si>
  <si>
    <t>VULN-0226</t>
  </si>
  <si>
    <t>WOR-089</t>
  </si>
  <si>
    <t>VULN-0081</t>
  </si>
  <si>
    <t>WOR-009</t>
  </si>
  <si>
    <t>VULN-0061</t>
  </si>
  <si>
    <t>DAT-032</t>
  </si>
  <si>
    <t>VULN-0103</t>
  </si>
  <si>
    <t>WIN-070</t>
  </si>
  <si>
    <t>VULN-0545</t>
  </si>
  <si>
    <t>WEB-068</t>
  </si>
  <si>
    <t>VULN-0111</t>
  </si>
  <si>
    <t>WIN-099</t>
  </si>
  <si>
    <t>VULN-0118</t>
  </si>
  <si>
    <t>DAT-044</t>
  </si>
  <si>
    <t>VULN-0122</t>
  </si>
  <si>
    <t>VULN-0123</t>
  </si>
  <si>
    <t>FIR-020</t>
  </si>
  <si>
    <t>VULN-0133</t>
  </si>
  <si>
    <t>WEB-111</t>
  </si>
  <si>
    <t>VULN-0218</t>
  </si>
  <si>
    <t>WEB-035</t>
  </si>
  <si>
    <t>VULN-0138</t>
  </si>
  <si>
    <t>LIN-033</t>
  </si>
  <si>
    <t>VULN-0305</t>
  </si>
  <si>
    <t>VULN-0254</t>
  </si>
  <si>
    <t>FIR-032</t>
  </si>
  <si>
    <t>VULN-0136</t>
  </si>
  <si>
    <t>WEB-047</t>
  </si>
  <si>
    <t>VULN-0280</t>
  </si>
  <si>
    <t>VULN-0168</t>
  </si>
  <si>
    <t>DAT-059</t>
  </si>
  <si>
    <t>VULN-0179</t>
  </si>
  <si>
    <t>FIR-105</t>
  </si>
  <si>
    <t>VULN-0188</t>
  </si>
  <si>
    <t>WOR-087</t>
  </si>
  <si>
    <t>VULN-0205</t>
  </si>
  <si>
    <t>WOR-118</t>
  </si>
  <si>
    <t>VULN-0215</t>
  </si>
  <si>
    <t>WEB-051</t>
  </si>
  <si>
    <t>VULN-0377</t>
  </si>
  <si>
    <t>LIN-062</t>
  </si>
  <si>
    <t>VULN-0244</t>
  </si>
  <si>
    <t>DAT-065</t>
  </si>
  <si>
    <t>VULN-0231</t>
  </si>
  <si>
    <t>WEB-010</t>
  </si>
  <si>
    <t>VULN-0240</t>
  </si>
  <si>
    <t>VULN-0252</t>
  </si>
  <si>
    <t>WIN-054</t>
  </si>
  <si>
    <t>VULN-0312</t>
  </si>
  <si>
    <t>VULN-0239</t>
  </si>
  <si>
    <t>DAT-010</t>
  </si>
  <si>
    <t>VULN-0323</t>
  </si>
  <si>
    <t>WOR-101</t>
  </si>
  <si>
    <t>VULN-0297</t>
  </si>
  <si>
    <t>FIR-019</t>
  </si>
  <si>
    <t>VULN-0227</t>
  </si>
  <si>
    <t>FIR-109</t>
  </si>
  <si>
    <t>VULN-0100</t>
  </si>
  <si>
    <t>FIR-011</t>
  </si>
  <si>
    <t>VULN-0329</t>
  </si>
  <si>
    <t>WOR-053</t>
  </si>
  <si>
    <t>VULN-0161</t>
  </si>
  <si>
    <t>LIN-072</t>
  </si>
  <si>
    <t>VULN-0149</t>
  </si>
  <si>
    <t>LIN-043</t>
  </si>
  <si>
    <t>VULN-0372</t>
  </si>
  <si>
    <t>WOR-107</t>
  </si>
  <si>
    <t>VULN-0395</t>
  </si>
  <si>
    <t>VULN-0279</t>
  </si>
  <si>
    <t>DAT-068</t>
  </si>
  <si>
    <t>VULN-0403</t>
  </si>
  <si>
    <t>WEB-032</t>
  </si>
  <si>
    <t>VULN-0539</t>
  </si>
  <si>
    <t>LIN-095</t>
  </si>
  <si>
    <t>VULN-0422</t>
  </si>
  <si>
    <t>VULN-0249</t>
  </si>
  <si>
    <t>WIN-018</t>
  </si>
  <si>
    <t>VULN-0488</t>
  </si>
  <si>
    <t>WIN-017</t>
  </si>
  <si>
    <t>VULN-0457</t>
  </si>
  <si>
    <t>VULN-0319</t>
  </si>
  <si>
    <t>WOR-116</t>
  </si>
  <si>
    <t>VULN-0471</t>
  </si>
  <si>
    <t>VULN-0354</t>
  </si>
  <si>
    <t>VULN-0336</t>
  </si>
  <si>
    <t>DAT-036</t>
  </si>
  <si>
    <t>VULN-0481</t>
  </si>
  <si>
    <t>FIR-034</t>
  </si>
  <si>
    <t>VULN-0016</t>
  </si>
  <si>
    <t>WEB-060</t>
  </si>
  <si>
    <t>VULN-0504</t>
  </si>
  <si>
    <t>WIN-100</t>
  </si>
  <si>
    <t>VULN-0528</t>
  </si>
  <si>
    <t>DAT-104</t>
  </si>
  <si>
    <t>VULN-0532</t>
  </si>
  <si>
    <t>WEB-086</t>
  </si>
  <si>
    <t>VULN-0548</t>
  </si>
  <si>
    <t>WEB-058</t>
  </si>
  <si>
    <t>VULN-0483</t>
  </si>
  <si>
    <t>WIN-061</t>
  </si>
  <si>
    <t>VULN-0578</t>
  </si>
  <si>
    <t>LIN-057</t>
  </si>
  <si>
    <t>VULN-0277</t>
  </si>
  <si>
    <t>WEB-029</t>
  </si>
  <si>
    <t>VULN-0595</t>
  </si>
  <si>
    <t>WOR-072</t>
  </si>
  <si>
    <t>VULN-0441</t>
  </si>
  <si>
    <t>VULN-0596</t>
  </si>
  <si>
    <t>FIR-051</t>
  </si>
  <si>
    <t>VULN-0012</t>
  </si>
  <si>
    <t>LIN-117</t>
  </si>
  <si>
    <t>VULN-0143</t>
  </si>
  <si>
    <t>VULN-0030</t>
  </si>
  <si>
    <t>WEB-013</t>
  </si>
  <si>
    <t>VULN-0039</t>
  </si>
  <si>
    <t>WIN-113</t>
  </si>
  <si>
    <t>VULN-0041</t>
  </si>
  <si>
    <t>WEB-020</t>
  </si>
  <si>
    <t>VULN-0044</t>
  </si>
  <si>
    <t>WIN-015</t>
  </si>
  <si>
    <t>VULN-0047</t>
  </si>
  <si>
    <t>LIN-103</t>
  </si>
  <si>
    <t>VULN-0057</t>
  </si>
  <si>
    <t>VULN-0058</t>
  </si>
  <si>
    <t>VULN-0477</t>
  </si>
  <si>
    <t>WEB-052</t>
  </si>
  <si>
    <t>VULN-0536</t>
  </si>
  <si>
    <t>VULN-0073</t>
  </si>
  <si>
    <t>VULN-0077</t>
  </si>
  <si>
    <t>VULN-0524</t>
  </si>
  <si>
    <t>VULN-0093</t>
  </si>
  <si>
    <t>LIN-047</t>
  </si>
  <si>
    <t>VULN-0096</t>
  </si>
  <si>
    <t>WOR-111</t>
  </si>
  <si>
    <t>VULN-0573</t>
  </si>
  <si>
    <t>LIN-098</t>
  </si>
  <si>
    <t>VULN-0176</t>
  </si>
  <si>
    <t>WEB-059</t>
  </si>
  <si>
    <t>VULN-0284</t>
  </si>
  <si>
    <t>VULN-0121</t>
  </si>
  <si>
    <t>VULN-0129</t>
  </si>
  <si>
    <t>VULN-0275</t>
  </si>
  <si>
    <t>VULN-0141</t>
  </si>
  <si>
    <t>DAT-106</t>
  </si>
  <si>
    <t>VULN-0153</t>
  </si>
  <si>
    <t>WIN-094</t>
  </si>
  <si>
    <t>VULN-0184</t>
  </si>
  <si>
    <t>VULN-0183</t>
  </si>
  <si>
    <t>VULN-0199</t>
  </si>
  <si>
    <t>VULN-0178</t>
  </si>
  <si>
    <t>VULN-0210</t>
  </si>
  <si>
    <t>VULN-0564</t>
  </si>
  <si>
    <t>VULN-0221</t>
  </si>
  <si>
    <t>FIR-102</t>
  </si>
  <si>
    <t>VULN-0421</t>
  </si>
  <si>
    <t>WOR-050</t>
  </si>
  <si>
    <t>VULN-0040</t>
  </si>
  <si>
    <t>VULN-0243</t>
  </si>
  <si>
    <t>LIN-064</t>
  </si>
  <si>
    <t>VULN-0139</t>
  </si>
  <si>
    <t>LIN-111</t>
  </si>
  <si>
    <t>VULN-0257</t>
  </si>
  <si>
    <t>DAT-041</t>
  </si>
  <si>
    <t>VULN-0069</t>
  </si>
  <si>
    <t>VULN-0267</t>
  </si>
  <si>
    <t>VULN-0272</t>
  </si>
  <si>
    <t>WEB-110</t>
  </si>
  <si>
    <t>VULN-0478</t>
  </si>
  <si>
    <t>WOR-117</t>
  </si>
  <si>
    <t>VULN-0582</t>
  </si>
  <si>
    <t>WEB-006</t>
  </si>
  <si>
    <t>VULN-0453</t>
  </si>
  <si>
    <t>FIR-005</t>
  </si>
  <si>
    <t>VULN-0021</t>
  </si>
  <si>
    <t>VULN-0298</t>
  </si>
  <si>
    <t>WOR-027</t>
  </si>
  <si>
    <t>VULN-0562</t>
  </si>
  <si>
    <t>LIN-093</t>
  </si>
  <si>
    <t>VULN-0001</t>
  </si>
  <si>
    <t>VULN-0327</t>
  </si>
  <si>
    <t>LIN-012</t>
  </si>
  <si>
    <t>VULN-0330</t>
  </si>
  <si>
    <t>DAT-022</t>
  </si>
  <si>
    <t>VULN-0580</t>
  </si>
  <si>
    <t>LIN-054</t>
  </si>
  <si>
    <t>VULN-0347</t>
  </si>
  <si>
    <t>WIN-039</t>
  </si>
  <si>
    <t>VULN-0351</t>
  </si>
  <si>
    <t>LIN-027</t>
  </si>
  <si>
    <t>VULN-0340</t>
  </si>
  <si>
    <t>VULN-0368</t>
  </si>
  <si>
    <t>VULN-0498</t>
  </si>
  <si>
    <t>FIR-088</t>
  </si>
  <si>
    <t>VULN-0371</t>
  </si>
  <si>
    <t>FIR-090</t>
  </si>
  <si>
    <t>VULN-0085</t>
  </si>
  <si>
    <t>VULN-0348</t>
  </si>
  <si>
    <t>LIN-120</t>
  </si>
  <si>
    <t>VULN-0025</t>
  </si>
  <si>
    <t>VULN-0140</t>
  </si>
  <si>
    <t>DAT-002</t>
  </si>
  <si>
    <t>VULN-0386</t>
  </si>
  <si>
    <t>VULN-0004</t>
  </si>
  <si>
    <t>WOR-104</t>
  </si>
  <si>
    <t>VULN-0417</t>
  </si>
  <si>
    <t>WIN-026</t>
  </si>
  <si>
    <t>VULN-0464</t>
  </si>
  <si>
    <t>WIN-066</t>
  </si>
  <si>
    <t>VULN-0431</t>
  </si>
  <si>
    <t>WIN-109</t>
  </si>
  <si>
    <t>VULN-0579</t>
  </si>
  <si>
    <t>LIN-024</t>
  </si>
  <si>
    <t>VULN-0434</t>
  </si>
  <si>
    <t>VULN-0475</t>
  </si>
  <si>
    <t>FIR-014</t>
  </si>
  <si>
    <t>VULN-0346</t>
  </si>
  <si>
    <t>LIN-067</t>
  </si>
  <si>
    <t>VULN-0402</t>
  </si>
  <si>
    <t>VULN-0007</t>
  </si>
  <si>
    <t>VULN-0455</t>
  </si>
  <si>
    <t>DAT-026</t>
  </si>
  <si>
    <t>VULN-0513</t>
  </si>
  <si>
    <t>FIR-083</t>
  </si>
  <si>
    <t>VULN-0343</t>
  </si>
  <si>
    <t>WIN-013</t>
  </si>
  <si>
    <t>VULN-0553</t>
  </si>
  <si>
    <t>VULN-0473</t>
  </si>
  <si>
    <t>VULN-0502</t>
  </si>
  <si>
    <t>LIN-006</t>
  </si>
  <si>
    <t>VULN-0508</t>
  </si>
  <si>
    <t>DAT-052</t>
  </si>
  <si>
    <t>VULN-0467</t>
  </si>
  <si>
    <t>WIN-088</t>
  </si>
  <si>
    <t>VULN-0525</t>
  </si>
  <si>
    <t>FIR-007</t>
  </si>
  <si>
    <t>VULN-0447</t>
  </si>
  <si>
    <t>VULN-0543</t>
  </si>
  <si>
    <t>WIN-101</t>
  </si>
  <si>
    <t>VULN-0489</t>
  </si>
  <si>
    <t>WIN-005</t>
  </si>
  <si>
    <t>VULN-0552</t>
  </si>
  <si>
    <t>DAT-092</t>
  </si>
  <si>
    <t>VULN-0571</t>
  </si>
  <si>
    <t>WOR-065</t>
  </si>
  <si>
    <t>VULN-0572</t>
  </si>
  <si>
    <t>LIN-023</t>
  </si>
  <si>
    <t>VULN-0230</t>
  </si>
  <si>
    <t>WIN-009</t>
  </si>
  <si>
    <t>VULN-0152</t>
  </si>
  <si>
    <t>VULN-0589</t>
  </si>
  <si>
    <t>DAT-048</t>
  </si>
  <si>
    <t>VULN-0002</t>
  </si>
  <si>
    <t>VULN-0010</t>
  </si>
  <si>
    <t>FIR-022</t>
  </si>
  <si>
    <t>VULN-0026</t>
  </si>
  <si>
    <t>WIN-111</t>
  </si>
  <si>
    <t>VULN-0590</t>
  </si>
  <si>
    <t>VULN-0050</t>
  </si>
  <si>
    <t>VULN-0052</t>
  </si>
  <si>
    <t>WEB-056</t>
  </si>
  <si>
    <t>VULN-0084</t>
  </si>
  <si>
    <t>VULN-0086</t>
  </si>
  <si>
    <t>WEB-090</t>
  </si>
  <si>
    <t>VULN-0216</t>
  </si>
  <si>
    <t>VULN-0495</t>
  </si>
  <si>
    <t>WOR-092</t>
  </si>
  <si>
    <t>VULN-0094</t>
  </si>
  <si>
    <t>VULN-0102</t>
  </si>
  <si>
    <t>FIR-030</t>
  </si>
  <si>
    <t>VULN-0075</t>
  </si>
  <si>
    <t>VULN-0115</t>
  </si>
  <si>
    <t>VULN-0425</t>
  </si>
  <si>
    <t>FIR-031</t>
  </si>
  <si>
    <t>VULN-0261</t>
  </si>
  <si>
    <t>VULN-0566</t>
  </si>
  <si>
    <t>FIR-094</t>
  </si>
  <si>
    <t>VULN-0134</t>
  </si>
  <si>
    <t>WOR-100</t>
  </si>
  <si>
    <t>VULN-0146</t>
  </si>
  <si>
    <t>VULN-0132</t>
  </si>
  <si>
    <t>LIN-049</t>
  </si>
  <si>
    <t>VULN-0167</t>
  </si>
  <si>
    <t>VULN-0155</t>
  </si>
  <si>
    <t>WIN-042</t>
  </si>
  <si>
    <t>VULN-0593</t>
  </si>
  <si>
    <t>FIR-027</t>
  </si>
  <si>
    <t>VULN-0180</t>
  </si>
  <si>
    <t>VULN-0515</t>
  </si>
  <si>
    <t>VULN-0195</t>
  </si>
  <si>
    <t>DAT-020</t>
  </si>
  <si>
    <t>VULN-0206</t>
  </si>
  <si>
    <t>WIN-033</t>
  </si>
  <si>
    <t>VULN-0207</t>
  </si>
  <si>
    <t>WOR-031</t>
  </si>
  <si>
    <t>VULN-0175</t>
  </si>
  <si>
    <t>DAT-074</t>
  </si>
  <si>
    <t>VULN-0233</t>
  </si>
  <si>
    <t>WIN-067</t>
  </si>
  <si>
    <t>VULN-0234</t>
  </si>
  <si>
    <t>VULN-0017</t>
  </si>
  <si>
    <t>VULN-0259</t>
  </si>
  <si>
    <t>VULN-0262</t>
  </si>
  <si>
    <t>DAT-084</t>
  </si>
  <si>
    <t>VULN-0049</t>
  </si>
  <si>
    <t>VULN-0268</t>
  </si>
  <si>
    <t>VULN-0232</t>
  </si>
  <si>
    <t>VULN-0307</t>
  </si>
  <si>
    <t>DAT-093</t>
  </si>
  <si>
    <t>VULN-0393</t>
  </si>
  <si>
    <t>FIR-085</t>
  </si>
  <si>
    <t>VULN-0106</t>
  </si>
  <si>
    <t>WIN-077</t>
  </si>
  <si>
    <t>VULN-0273</t>
  </si>
  <si>
    <t>WIN-024</t>
  </si>
  <si>
    <t>VULN-0309</t>
  </si>
  <si>
    <t>WIN-108</t>
  </si>
  <si>
    <t>VULN-0314</t>
  </si>
  <si>
    <t>LIN-080</t>
  </si>
  <si>
    <t>VULN-0318</t>
  </si>
  <si>
    <t>WIN-030</t>
  </si>
  <si>
    <t>VULN-0333</t>
  </si>
  <si>
    <t>DAT-043</t>
  </si>
  <si>
    <t>VULN-0151</t>
  </si>
  <si>
    <t>VULN-0255</t>
  </si>
  <si>
    <t>LIN-053</t>
  </si>
  <si>
    <t>VULN-0345</t>
  </si>
  <si>
    <t>DAT-118</t>
  </si>
  <si>
    <t>VULN-0088</t>
  </si>
  <si>
    <t>VULN-0459</t>
  </si>
  <si>
    <t>VULN-0509</t>
  </si>
  <si>
    <t>FIR-093</t>
  </si>
  <si>
    <t>VULN-0256</t>
  </si>
  <si>
    <t>VULN-0321</t>
  </si>
  <si>
    <t>FIR-018</t>
  </si>
  <si>
    <t>VULN-0432</t>
  </si>
  <si>
    <t>VULN-0378</t>
  </si>
  <si>
    <t>WIN-090</t>
  </si>
  <si>
    <t>VULN-0379</t>
  </si>
  <si>
    <t>LIN-050</t>
  </si>
  <si>
    <t>VULN-0411</t>
  </si>
  <si>
    <t>WEB-046</t>
  </si>
  <si>
    <t>VULN-0413</t>
  </si>
  <si>
    <t>WIN-092</t>
  </si>
  <si>
    <t>VULN-0241</t>
  </si>
  <si>
    <t>WEB-014</t>
  </si>
  <si>
    <t>VULN-0442</t>
  </si>
  <si>
    <t>WOR-022</t>
  </si>
  <si>
    <t>VULN-0367</t>
  </si>
  <si>
    <t>VULN-0308</t>
  </si>
  <si>
    <t>VULN-0197</t>
  </si>
  <si>
    <t>FIR-101</t>
  </si>
  <si>
    <t>VULN-0142</t>
  </si>
  <si>
    <t>WEB-042</t>
  </si>
  <si>
    <t>VULN-0486</t>
  </si>
  <si>
    <t>VULN-0468</t>
  </si>
  <si>
    <t>DAT-076</t>
  </si>
  <si>
    <t>VULN-0493</t>
  </si>
  <si>
    <t>VULN-0494</t>
  </si>
  <si>
    <t>FIR-017</t>
  </si>
  <si>
    <t>VULN-0499</t>
  </si>
  <si>
    <t>VULN-0500</t>
  </si>
  <si>
    <t>VULN-0304</t>
  </si>
  <si>
    <t>WIN-103</t>
  </si>
  <si>
    <t>VULN-0505</t>
  </si>
  <si>
    <t>WOR-060</t>
  </si>
  <si>
    <t>VULN-0376</t>
  </si>
  <si>
    <t>FIR-040</t>
  </si>
  <si>
    <t>VULN-0530</t>
  </si>
  <si>
    <t>WEB-092</t>
  </si>
  <si>
    <t>VULN-0534</t>
  </si>
  <si>
    <t>WIN-089</t>
  </si>
  <si>
    <t>VULN-0341</t>
  </si>
  <si>
    <t>LIN-085</t>
  </si>
  <si>
    <t>VULN-0135</t>
  </si>
  <si>
    <t>WIN-116</t>
  </si>
  <si>
    <t>VULN-0080</t>
  </si>
  <si>
    <t>FIR-077</t>
  </si>
  <si>
    <t>VULN-0563</t>
  </si>
  <si>
    <t>VULN-0281</t>
  </si>
  <si>
    <t>VULN-0238</t>
  </si>
  <si>
    <t>VULN-0581</t>
  </si>
  <si>
    <t>DAT-003</t>
  </si>
  <si>
    <t>VULN-0585</t>
  </si>
  <si>
    <t>FIR-066</t>
  </si>
  <si>
    <t>VULN-0119</t>
  </si>
  <si>
    <t>VULN-0588</t>
  </si>
  <si>
    <t>DAT-085</t>
  </si>
  <si>
    <t>VULN-0597</t>
  </si>
  <si>
    <t>FIR-021</t>
  </si>
  <si>
    <t>VULN-0381</t>
  </si>
  <si>
    <t>WOR-093</t>
  </si>
  <si>
    <t>VULN-0006</t>
  </si>
  <si>
    <t>VULN-0287</t>
  </si>
  <si>
    <t>VULN-0357</t>
  </si>
  <si>
    <t>WOR-018</t>
  </si>
  <si>
    <t>VULN-0014</t>
  </si>
  <si>
    <t>DAT-047</t>
  </si>
  <si>
    <t>VULN-0173</t>
  </si>
  <si>
    <t>DAT-096</t>
  </si>
  <si>
    <t>VULN-0019</t>
  </si>
  <si>
    <t>VULN-0022</t>
  </si>
  <si>
    <t>VULN-0034</t>
  </si>
  <si>
    <t>VULN-0315</t>
  </si>
  <si>
    <t>VULN-0352</t>
  </si>
  <si>
    <t>WOR-026</t>
  </si>
  <si>
    <t>VULN-0051</t>
  </si>
  <si>
    <t>VULN-0062</t>
  </si>
  <si>
    <t>VULN-0547</t>
  </si>
  <si>
    <t>VULN-0373</t>
  </si>
  <si>
    <t>VULN-0079</t>
  </si>
  <si>
    <t>WEB-089</t>
  </si>
  <si>
    <t>VULN-0209</t>
  </si>
  <si>
    <t>LIN-038</t>
  </si>
  <si>
    <t>VULN-0577</t>
  </si>
  <si>
    <t>VULN-0436</t>
  </si>
  <si>
    <t>WEB-041</t>
  </si>
  <si>
    <t>VULN-0095</t>
  </si>
  <si>
    <t>VULN-0097</t>
  </si>
  <si>
    <t>VULN-0099</t>
  </si>
  <si>
    <t>VULN-0418</t>
  </si>
  <si>
    <t>WIN-022</t>
  </si>
  <si>
    <t>VULN-0110</t>
  </si>
  <si>
    <t>DAT-037</t>
  </si>
  <si>
    <t>VULN-0529</t>
  </si>
  <si>
    <t>FIR-071</t>
  </si>
  <si>
    <t>VULN-0128</t>
  </si>
  <si>
    <t>WEB-053</t>
  </si>
  <si>
    <t>VULN-0104</t>
  </si>
  <si>
    <t>VULN-0331</t>
  </si>
  <si>
    <t>LIN-056</t>
  </si>
  <si>
    <t>VULN-0487</t>
  </si>
  <si>
    <t>VULN-0192</t>
  </si>
  <si>
    <t>VULN-0408</t>
  </si>
  <si>
    <t>WEB-008</t>
  </si>
  <si>
    <t>VULN-0208</t>
  </si>
  <si>
    <t>VULN-0177</t>
  </si>
  <si>
    <t>WIN-051</t>
  </si>
  <si>
    <t>VULN-0185</t>
  </si>
  <si>
    <t>WEB-061</t>
  </si>
  <si>
    <t>VULN-0186</t>
  </si>
  <si>
    <t>WIN-065</t>
  </si>
  <si>
    <t>VULN-0187</t>
  </si>
  <si>
    <t>VULN-0189</t>
  </si>
  <si>
    <t>VULN-0201</t>
  </si>
  <si>
    <t>WEB-109</t>
  </si>
  <si>
    <t>VULN-0211</t>
  </si>
  <si>
    <t>VULN-0458</t>
  </si>
  <si>
    <t>VULN-0250</t>
  </si>
  <si>
    <t>VULN-0266</t>
  </si>
  <si>
    <t>FIR-026</t>
  </si>
  <si>
    <t>VULN-0269</t>
  </si>
  <si>
    <t>VULN-0270</t>
  </si>
  <si>
    <t>VULN-0194</t>
  </si>
  <si>
    <t>WEB-107</t>
  </si>
  <si>
    <t>VULN-0276</t>
  </si>
  <si>
    <t>FIR-065</t>
  </si>
  <si>
    <t>VULN-0541</t>
  </si>
  <si>
    <t>LIN-119</t>
  </si>
  <si>
    <t>VULN-0285</t>
  </si>
  <si>
    <t>VULN-0293</t>
  </si>
  <si>
    <t>WOR-113</t>
  </si>
  <si>
    <t>VULN-0439</t>
  </si>
  <si>
    <t>WIN-007</t>
  </si>
  <si>
    <t>VULN-0391</t>
  </si>
  <si>
    <t>VULN-0324</t>
  </si>
  <si>
    <t>VULN-0325</t>
  </si>
  <si>
    <t>VULN-0591</t>
  </si>
  <si>
    <t>VULN-0310</t>
  </si>
  <si>
    <t>VULN-0363</t>
  </si>
  <si>
    <t>WOR-045</t>
  </si>
  <si>
    <t>VULN-0365</t>
  </si>
  <si>
    <t>VULN-0366</t>
  </si>
  <si>
    <t>VULN-0003</t>
  </si>
  <si>
    <t>VULN-0156</t>
  </si>
  <si>
    <t>VULN-0380</t>
  </si>
  <si>
    <t>LIN-083</t>
  </si>
  <si>
    <t>VULN-0382</t>
  </si>
  <si>
    <t>VULN-0078</t>
  </si>
  <si>
    <t>WEB-004</t>
  </si>
  <si>
    <t>VULN-0392</t>
  </si>
  <si>
    <t>LIN-008</t>
  </si>
  <si>
    <t>VULN-0567</t>
  </si>
  <si>
    <t>WIN-023</t>
  </si>
  <si>
    <t>VULN-0370</t>
  </si>
  <si>
    <t>VULN-0170</t>
  </si>
  <si>
    <t>VULN-0419</t>
  </si>
  <si>
    <t>DAT-023</t>
  </si>
  <si>
    <t>VULN-0271</t>
  </si>
  <si>
    <t>VULN-0008</t>
  </si>
  <si>
    <t>VULN-0437</t>
  </si>
  <si>
    <t>FIR-010</t>
  </si>
  <si>
    <t>VULN-0375</t>
  </si>
  <si>
    <t>WOR-012</t>
  </si>
  <si>
    <t>VULN-0445</t>
  </si>
  <si>
    <t>WOR-039</t>
  </si>
  <si>
    <t>VULN-0454</t>
  </si>
  <si>
    <t>VULN-0461</t>
  </si>
  <si>
    <t>FIR-061</t>
  </si>
  <si>
    <t>VULN-0472</t>
  </si>
  <si>
    <t>WEB-104</t>
  </si>
  <si>
    <t>VULN-0519</t>
  </si>
  <si>
    <t>WOR-106</t>
  </si>
  <si>
    <t>VULN-0476</t>
  </si>
  <si>
    <t>VULN-0127</t>
  </si>
  <si>
    <t>VULN-0522</t>
  </si>
  <si>
    <t>WOR-079</t>
  </si>
  <si>
    <t>VULN-0523</t>
  </si>
  <si>
    <t>VULN-0516</t>
  </si>
  <si>
    <t>LIN-011</t>
  </si>
  <si>
    <t>VULN-0544</t>
  </si>
  <si>
    <t>VULN-0546</t>
  </si>
  <si>
    <t>VULN-0334</t>
  </si>
  <si>
    <t>VULN-0575</t>
  </si>
  <si>
    <t>FIR-067</t>
  </si>
  <si>
    <t>VULN-0120</t>
  </si>
  <si>
    <t>WOR-112</t>
  </si>
  <si>
    <t>VULN-0046</t>
  </si>
  <si>
    <t>VULN-0060</t>
  </si>
  <si>
    <t>VULN-0065</t>
  </si>
  <si>
    <t>VULN-0586</t>
  </si>
  <si>
    <t>DAT-017</t>
  </si>
  <si>
    <t>VULN-0349</t>
  </si>
  <si>
    <t>DAT-081</t>
  </si>
  <si>
    <t>VULN-0117</t>
  </si>
  <si>
    <t>LIN-059</t>
  </si>
  <si>
    <t>VULN-0023</t>
  </si>
  <si>
    <t>VULN-0147</t>
  </si>
  <si>
    <t>WOR-025</t>
  </si>
  <si>
    <t>VULN-0162</t>
  </si>
  <si>
    <t>VULN-0166</t>
  </si>
  <si>
    <t>FIR-098</t>
  </si>
  <si>
    <t>VULN-0009</t>
  </si>
  <si>
    <t>DAT-082</t>
  </si>
  <si>
    <t>VULN-0172</t>
  </si>
  <si>
    <t>LIN-039</t>
  </si>
  <si>
    <t>VULN-0198</t>
  </si>
  <si>
    <t>LIN-048</t>
  </si>
  <si>
    <t>VULN-0200</t>
  </si>
  <si>
    <t>WOR-007</t>
  </si>
  <si>
    <t>VULN-0400</t>
  </si>
  <si>
    <t>WOR-035</t>
  </si>
  <si>
    <t>VULN-0258</t>
  </si>
  <si>
    <t>VULN-0438</t>
  </si>
  <si>
    <t>VULN-0286</t>
  </si>
  <si>
    <t>VULN-0526</t>
  </si>
  <si>
    <t>WEB-023</t>
  </si>
  <si>
    <t>VULN-0300</t>
  </si>
  <si>
    <t>WEB-093</t>
  </si>
  <si>
    <t>VULN-0112</t>
  </si>
  <si>
    <t>VULN-0401</t>
  </si>
  <si>
    <t>VULN-0311</t>
  </si>
  <si>
    <t>VULN-0355</t>
  </si>
  <si>
    <t>LIN-040</t>
  </si>
  <si>
    <t>VULN-0316</t>
  </si>
  <si>
    <t>VULN-0410</t>
  </si>
  <si>
    <t>VULN-0087</t>
  </si>
  <si>
    <t>FIR-053</t>
  </si>
  <si>
    <t>VULN-0420</t>
  </si>
  <si>
    <t>VULN-0433</t>
  </si>
  <si>
    <t>VULN-0114</t>
  </si>
  <si>
    <t>WIN-081</t>
  </si>
  <si>
    <t>VULN-0301</t>
  </si>
  <si>
    <t>WIN-028</t>
  </si>
  <si>
    <t>VULN-0501</t>
  </si>
  <si>
    <t>WEB-026</t>
  </si>
  <si>
    <t>VULN-0514</t>
  </si>
  <si>
    <t>FIR-120</t>
  </si>
  <si>
    <t>VULN-0480</t>
  </si>
  <si>
    <t>VULN-0531</t>
  </si>
  <si>
    <t>VULN-0537</t>
  </si>
  <si>
    <t>DAT-107</t>
  </si>
  <si>
    <t>VULN-0540</t>
  </si>
  <si>
    <t>VULN-0561</t>
  </si>
  <si>
    <t>VULN-0565</t>
  </si>
  <si>
    <t>VULN-0576</t>
  </si>
  <si>
    <t>VULN-0013</t>
  </si>
  <si>
    <t>VULN-0587</t>
  </si>
  <si>
    <t>LIN-078</t>
  </si>
  <si>
    <t>VULN-0035</t>
  </si>
  <si>
    <t>VULN-0105</t>
  </si>
  <si>
    <t>DAT-089</t>
  </si>
  <si>
    <t>VULN-0358</t>
  </si>
  <si>
    <t>DAT-018</t>
  </si>
  <si>
    <t>VULN-0190</t>
  </si>
  <si>
    <t>VULN-0416</t>
  </si>
  <si>
    <t>VULN-0237</t>
  </si>
  <si>
    <t>WEB-034</t>
  </si>
  <si>
    <t>VULN-0584</t>
  </si>
  <si>
    <t>VULN-0374</t>
  </si>
  <si>
    <t>VULN-0503</t>
  </si>
  <si>
    <t>VULN-0491</t>
  </si>
  <si>
    <t>VULN-0150</t>
  </si>
  <si>
    <t>WEB-033</t>
  </si>
  <si>
    <t>VULN-0470</t>
  </si>
  <si>
    <t>VULN-0005</t>
  </si>
  <si>
    <t>VULN-0113</t>
  </si>
  <si>
    <t>WOR-071</t>
  </si>
  <si>
    <t>VULN-0538</t>
  </si>
  <si>
    <t>FIR-025</t>
  </si>
  <si>
    <t>VULN-0558</t>
  </si>
  <si>
    <t>VULN-0574</t>
  </si>
  <si>
    <t>VULN-0248</t>
  </si>
  <si>
    <t>PAINEL DE GESTÃO DE VULNERABILIDADES</t>
  </si>
  <si>
    <t>Vulnerabilidades Abertas</t>
  </si>
  <si>
    <t>Vulnerabilidades Priority 1</t>
  </si>
  <si>
    <t>Maior Risk Score</t>
  </si>
  <si>
    <t>Contagem de Finding_ID</t>
  </si>
  <si>
    <t>Priority 1</t>
  </si>
  <si>
    <t>Priority 2</t>
  </si>
  <si>
    <t>Priority 3</t>
  </si>
  <si>
    <t>Priority 4</t>
  </si>
  <si>
    <t>Total Geral</t>
  </si>
  <si>
    <t>PRIORITY 1 — VULNERABILIDADES DE MAIOR RISCO</t>
  </si>
  <si>
    <t>Soma de 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</si>
</sst>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A60C0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0" fontId="1" fillId="0" borderId="0" xfId="0" applyNumberFormat="1" applyFont="1" applyAlignment="1">
      <alignment horizontal="left" vertical="center"/>
    </xf>
    <xf numFmtId="1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/>
    <xf numFmtId="0" fontId="0" fillId="0" borderId="1" xfId="0" applyBorder="1"/>
    <xf numFmtId="0" fontId="0" fillId="0" borderId="0" xfId="0" applyBorder="1"/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7" xfId="0" applyNumberFormat="1" applyFont="1" applyBorder="1" applyAlignment="1">
      <alignment horizontal="center"/>
    </xf>
    <xf numFmtId="0" fontId="0" fillId="0" borderId="7" xfId="0" applyBorder="1"/>
    <xf numFmtId="10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0" xfId="0" applyNumberFormat="1" applyBorder="1"/>
    <xf numFmtId="0" fontId="0" fillId="0" borderId="1" xfId="0" applyNumberFormat="1" applyBorder="1"/>
    <xf numFmtId="0" fontId="0" fillId="0" borderId="3" xfId="0" applyBorder="1"/>
    <xf numFmtId="0" fontId="0" fillId="0" borderId="3" xfId="0" applyNumberFormat="1" applyBorder="1"/>
    <xf numFmtId="0" fontId="0" fillId="0" borderId="8" xfId="0" applyBorder="1"/>
    <xf numFmtId="0" fontId="0" fillId="0" borderId="8" xfId="0" applyNumberFormat="1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1076">
    <dxf>
      <numFmt numFmtId="0" formatCode="General"/>
    </dxf>
    <dxf>
      <numFmt numFmtId="0" formatCode="General"/>
      <alignment horizontal="center"/>
    </dxf>
    <dxf>
      <numFmt numFmtId="19" formatCode="dd/mm/yyyy"/>
      <alignment horizontal="left"/>
    </dxf>
    <dxf>
      <numFmt numFmtId="19" formatCode="dd/mm/yyyy"/>
      <alignment horizontal="left"/>
    </dxf>
    <dxf>
      <numFmt numFmtId="19" formatCode="dd/mm/yyyy"/>
      <alignment horizontal="left"/>
    </dxf>
    <dxf>
      <alignment horizontal="center"/>
    </dxf>
    <dxf>
      <numFmt numFmtId="14" formatCode="0.00%"/>
      <alignment horizontal="left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000000"/>
        </bottom>
      </border>
    </dxf>
    <dxf>
      <border outline="0">
        <top style="thin">
          <color rgb="FF000000"/>
        </top>
        <bottom style="medium">
          <color rgb="FF000000"/>
        </bottom>
      </border>
    </dxf>
    <dxf>
      <border outline="0">
        <top style="thin">
          <color rgb="FF000000"/>
        </top>
        <bottom style="medium">
          <color rgb="FF000000"/>
        </bottom>
      </border>
    </dxf>
    <dxf>
      <border outline="0">
        <top style="thin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colors>
    <mruColors>
      <color rgb="FFA60C0C"/>
      <color rgb="FFDE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[Cybersecurity_Excel_Lab_Vulnerability_Management 1.xlsx]DASHBOARD!Tabela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Vulnerabilidades Abertas por Ambiente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66092"/>
          </a:solidFill>
          <a:ln>
            <a:solidFill>
              <a:srgbClr val="80808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66092"/>
            </a:solidFill>
            <a:ln>
              <a:solidFill>
                <a:srgbClr val="808080"/>
              </a:solidFill>
              <a:prstDash val="solid"/>
            </a:ln>
            <a:effectLst/>
          </c:spPr>
          <c:invertIfNegative val="0"/>
          <c:cat>
            <c:strRef>
              <c:f>DASHBOARD!$M$16:$M$19</c:f>
              <c:strCache>
                <c:ptCount val="3"/>
                <c:pt idx="0">
                  <c:v>Corporate</c:v>
                </c:pt>
                <c:pt idx="1">
                  <c:v>Development</c:v>
                </c:pt>
                <c:pt idx="2">
                  <c:v>Production</c:v>
                </c:pt>
              </c:strCache>
            </c:strRef>
          </c:cat>
          <c:val>
            <c:numRef>
              <c:f>DASHBOARD!$N$16:$N$19</c:f>
              <c:numCache>
                <c:formatCode>General</c:formatCode>
                <c:ptCount val="3"/>
                <c:pt idx="0">
                  <c:v>89</c:v>
                </c:pt>
                <c:pt idx="1">
                  <c:v>60</c:v>
                </c:pt>
                <c:pt idx="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C-4D44-9606-05F7B088C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7"/>
        <c:overlap val="-27"/>
        <c:axId val="1571337736"/>
        <c:axId val="1571339784"/>
      </c:barChart>
      <c:catAx>
        <c:axId val="157133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DDD9C4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39784"/>
        <c:crosses val="autoZero"/>
        <c:auto val="1"/>
        <c:lblAlgn val="ctr"/>
        <c:lblOffset val="100"/>
        <c:noMultiLvlLbl val="0"/>
      </c:catAx>
      <c:valAx>
        <c:axId val="157133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33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CE6F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[Cybersecurity_Excel_Lab_Vulnerability_Management 1.xlsx]DASHBOARD!Tabela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Vulnerabilidades Abertas por Prioridade</a:t>
            </a:r>
          </a:p>
        </c:rich>
      </c:tx>
      <c:layout>
        <c:manualLayout>
          <c:xMode val="edge"/>
          <c:yMode val="edge"/>
          <c:x val="0.17433595800524934"/>
          <c:y val="2.8340080971659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5D9F1"/>
          </a:solidFill>
          <a:ln>
            <a:solidFill>
              <a:srgbClr val="A6A6A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5D9F1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cat>
            <c:strRef>
              <c:f>DASHBOARD!$M$7:$M$11</c:f>
              <c:strCache>
                <c:ptCount val="4"/>
                <c:pt idx="0">
                  <c:v>Priority 1</c:v>
                </c:pt>
                <c:pt idx="1">
                  <c:v>Priority 2</c:v>
                </c:pt>
                <c:pt idx="2">
                  <c:v>Priority 3</c:v>
                </c:pt>
                <c:pt idx="3">
                  <c:v>Priority 4</c:v>
                </c:pt>
              </c:strCache>
            </c:strRef>
          </c:cat>
          <c:val>
            <c:numRef>
              <c:f>DASHBOARD!$N$7:$N$11</c:f>
              <c:numCache>
                <c:formatCode>General</c:formatCode>
                <c:ptCount val="4"/>
                <c:pt idx="0">
                  <c:v>12</c:v>
                </c:pt>
                <c:pt idx="1">
                  <c:v>65</c:v>
                </c:pt>
                <c:pt idx="2">
                  <c:v>103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4-4B5C-83EC-D6C423022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7"/>
        <c:axId val="56225287"/>
        <c:axId val="56227335"/>
      </c:barChart>
      <c:catAx>
        <c:axId val="56225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56227335"/>
        <c:crosses val="autoZero"/>
        <c:auto val="1"/>
        <c:lblAlgn val="ctr"/>
        <c:lblOffset val="100"/>
        <c:noMultiLvlLbl val="0"/>
      </c:catAx>
      <c:valAx>
        <c:axId val="5622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25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4D79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4</xdr:row>
      <xdr:rowOff>142875</xdr:rowOff>
    </xdr:from>
    <xdr:to>
      <xdr:col>5</xdr:col>
      <xdr:colOff>600075</xdr:colOff>
      <xdr:row>18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CCF180-758C-7620-2C09-AB85294C2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1485900</xdr:colOff>
      <xdr:row>4</xdr:row>
      <xdr:rowOff>171450</xdr:rowOff>
    </xdr:from>
    <xdr:to>
      <xdr:col>11</xdr:col>
      <xdr:colOff>47625</xdr:colOff>
      <xdr:row>18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339B01-84DF-FC12-387D-D10AA28F50B5}"/>
            </a:ext>
            <a:ext uri="{147F2762-F138-4A5C-976F-8EAC2B608ADB}">
              <a16:predDERef xmlns:a16="http://schemas.microsoft.com/office/drawing/2014/main" pred="{89CCF180-758C-7620-2C09-AB85294C2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908447106478" createdVersion="8" refreshedVersion="8" minRefreshableVersion="3" recordCount="600" xr:uid="{80DC3AEE-9701-4907-A048-6DCE35D7CFA7}">
  <cacheSource type="worksheet">
    <worksheetSource name="tbl_Vulnerabilities"/>
  </cacheSource>
  <cacheFields count="20">
    <cacheField name="Finding_ID" numFmtId="0">
      <sharedItems count="600">
        <s v="VULN-0001"/>
        <s v="VULN-0002"/>
        <s v="VULN-0003"/>
        <s v="VULN-0004"/>
        <s v="VULN-0005"/>
        <s v="VULN-0006"/>
        <s v="VULN-0007"/>
        <s v="VULN-0008"/>
        <s v="VULN-0009"/>
        <s v="VULN-0010"/>
        <s v="VULN-0011"/>
        <s v="VULN-0012"/>
        <s v="VULN-0013"/>
        <s v="VULN-0014"/>
        <s v="VULN-0015"/>
        <s v="VULN-0016"/>
        <s v="VULN-0017"/>
        <s v="VULN-0018"/>
        <s v="VULN-0019"/>
        <s v="VULN-0020"/>
        <s v="VULN-0021"/>
        <s v="VULN-0022"/>
        <s v="VULN-0023"/>
        <s v="VULN-0024"/>
        <s v="VULN-0025"/>
        <s v="VULN-0026"/>
        <s v="VULN-0027"/>
        <s v="VULN-0028"/>
        <s v="VULN-0029"/>
        <s v="VULN-0030"/>
        <s v="VULN-0031"/>
        <s v="VULN-0032"/>
        <s v="VULN-0033"/>
        <s v="VULN-0034"/>
        <s v="VULN-0035"/>
        <s v="VULN-0036"/>
        <s v="VULN-0037"/>
        <s v="VULN-0038"/>
        <s v="VULN-0039"/>
        <s v="VULN-0040"/>
        <s v="VULN-0041"/>
        <s v="VULN-0042"/>
        <s v="VULN-0043"/>
        <s v="VULN-0044"/>
        <s v="VULN-0045"/>
        <s v="VULN-0046"/>
        <s v="VULN-0047"/>
        <s v="VULN-0048"/>
        <s v="VULN-0049"/>
        <s v="VULN-0050"/>
        <s v="VULN-0051"/>
        <s v="VULN-0052"/>
        <s v="VULN-0053"/>
        <s v="VULN-0054"/>
        <s v="VULN-0055"/>
        <s v="VULN-0056"/>
        <s v="VULN-0057"/>
        <s v="VULN-0058"/>
        <s v="VULN-0059"/>
        <s v="VULN-0060"/>
        <s v="VULN-0061"/>
        <s v="VULN-0062"/>
        <s v="VULN-0063"/>
        <s v="VULN-0064"/>
        <s v="VULN-0065"/>
        <s v="VULN-0066"/>
        <s v="VULN-0067"/>
        <s v="VULN-0068"/>
        <s v="VULN-0069"/>
        <s v="VULN-0070"/>
        <s v="VULN-0071"/>
        <s v="VULN-0072"/>
        <s v="VULN-0073"/>
        <s v="VULN-0074"/>
        <s v="VULN-0075"/>
        <s v="VULN-0076"/>
        <s v="VULN-0077"/>
        <s v="VULN-0078"/>
        <s v="VULN-0079"/>
        <s v="VULN-0080"/>
        <s v="VULN-0081"/>
        <s v="VULN-0082"/>
        <s v="VULN-0083"/>
        <s v="VULN-0084"/>
        <s v="VULN-0085"/>
        <s v="VULN-0086"/>
        <s v="VULN-0087"/>
        <s v="VULN-0088"/>
        <s v="VULN-0089"/>
        <s v="VULN-0090"/>
        <s v="VULN-0091"/>
        <s v="VULN-0092"/>
        <s v="VULN-0093"/>
        <s v="VULN-0094"/>
        <s v="VULN-0095"/>
        <s v="VULN-0096"/>
        <s v="VULN-0097"/>
        <s v="VULN-0098"/>
        <s v="VULN-0099"/>
        <s v="VULN-0100"/>
        <s v="VULN-0101"/>
        <s v="VULN-0102"/>
        <s v="VULN-0103"/>
        <s v="VULN-0104"/>
        <s v="VULN-0105"/>
        <s v="VULN-0106"/>
        <s v="VULN-0107"/>
        <s v="VULN-0108"/>
        <s v="VULN-0109"/>
        <s v="VULN-0110"/>
        <s v="VULN-0111"/>
        <s v="VULN-0112"/>
        <s v="VULN-0113"/>
        <s v="VULN-0114"/>
        <s v="VULN-0115"/>
        <s v="VULN-0116"/>
        <s v="VULN-0117"/>
        <s v="VULN-0118"/>
        <s v="VULN-0119"/>
        <s v="VULN-0120"/>
        <s v="VULN-0121"/>
        <s v="VULN-0122"/>
        <s v="VULN-0123"/>
        <s v="VULN-0124"/>
        <s v="VULN-0125"/>
        <s v="VULN-0126"/>
        <s v="VULN-0127"/>
        <s v="VULN-0128"/>
        <s v="VULN-0129"/>
        <s v="VULN-0130"/>
        <s v="VULN-0131"/>
        <s v="VULN-0132"/>
        <s v="VULN-0133"/>
        <s v="VULN-0134"/>
        <s v="VULN-0135"/>
        <s v="VULN-0136"/>
        <s v="VULN-0137"/>
        <s v="VULN-0138"/>
        <s v="VULN-0139"/>
        <s v="VULN-0140"/>
        <s v="VULN-0141"/>
        <s v="VULN-0142"/>
        <s v="VULN-0143"/>
        <s v="VULN-0144"/>
        <s v="VULN-0145"/>
        <s v="VULN-0146"/>
        <s v="VULN-0147"/>
        <s v="VULN-0148"/>
        <s v="VULN-0149"/>
        <s v="VULN-0150"/>
        <s v="VULN-0151"/>
        <s v="VULN-0152"/>
        <s v="VULN-0153"/>
        <s v="VULN-0154"/>
        <s v="VULN-0155"/>
        <s v="VULN-0156"/>
        <s v="VULN-0157"/>
        <s v="VULN-0158"/>
        <s v="VULN-0159"/>
        <s v="VULN-0160"/>
        <s v="VULN-0161"/>
        <s v="VULN-0162"/>
        <s v="VULN-0163"/>
        <s v="VULN-0164"/>
        <s v="VULN-0165"/>
        <s v="VULN-0166"/>
        <s v="VULN-0167"/>
        <s v="VULN-0168"/>
        <s v="VULN-0169"/>
        <s v="VULN-0170"/>
        <s v="VULN-0171"/>
        <s v="VULN-0172"/>
        <s v="VULN-0173"/>
        <s v="VULN-0174"/>
        <s v="VULN-0175"/>
        <s v="VULN-0176"/>
        <s v="VULN-0177"/>
        <s v="VULN-0178"/>
        <s v="VULN-0179"/>
        <s v="VULN-0180"/>
        <s v="VULN-0181"/>
        <s v="VULN-0182"/>
        <s v="VULN-0183"/>
        <s v="VULN-0184"/>
        <s v="VULN-0185"/>
        <s v="VULN-0186"/>
        <s v="VULN-0187"/>
        <s v="VULN-0188"/>
        <s v="VULN-0189"/>
        <s v="VULN-0190"/>
        <s v="VULN-0191"/>
        <s v="VULN-0192"/>
        <s v="VULN-0193"/>
        <s v="VULN-0194"/>
        <s v="VULN-0195"/>
        <s v="VULN-0196"/>
        <s v="VULN-0197"/>
        <s v="VULN-0198"/>
        <s v="VULN-0199"/>
        <s v="VULN-0200"/>
        <s v="VULN-0201"/>
        <s v="VULN-0202"/>
        <s v="VULN-0203"/>
        <s v="VULN-0204"/>
        <s v="VULN-0205"/>
        <s v="VULN-0206"/>
        <s v="VULN-0207"/>
        <s v="VULN-0208"/>
        <s v="VULN-0209"/>
        <s v="VULN-0210"/>
        <s v="VULN-0211"/>
        <s v="VULN-0212"/>
        <s v="VULN-0213"/>
        <s v="VULN-0214"/>
        <s v="VULN-0215"/>
        <s v="VULN-0216"/>
        <s v="VULN-0217"/>
        <s v="VULN-0218"/>
        <s v="VULN-0219"/>
        <s v="VULN-0220"/>
        <s v="VULN-0221"/>
        <s v="VULN-0222"/>
        <s v="VULN-0223"/>
        <s v="VULN-0224"/>
        <s v="VULN-0225"/>
        <s v="VULN-0226"/>
        <s v="VULN-0227"/>
        <s v="VULN-0228"/>
        <s v="VULN-0229"/>
        <s v="VULN-0230"/>
        <s v="VULN-0231"/>
        <s v="VULN-0232"/>
        <s v="VULN-0233"/>
        <s v="VULN-0234"/>
        <s v="VULN-0235"/>
        <s v="VULN-0236"/>
        <s v="VULN-0237"/>
        <s v="VULN-0238"/>
        <s v="VULN-0239"/>
        <s v="VULN-0240"/>
        <s v="VULN-0241"/>
        <s v="VULN-0242"/>
        <s v="VULN-0243"/>
        <s v="VULN-0244"/>
        <s v="VULN-0245"/>
        <s v="VULN-0246"/>
        <s v="VULN-0247"/>
        <s v="VULN-0248"/>
        <s v="VULN-0249"/>
        <s v="VULN-0250"/>
        <s v="VULN-0251"/>
        <s v="VULN-0252"/>
        <s v="VULN-0253"/>
        <s v="VULN-0254"/>
        <s v="VULN-0255"/>
        <s v="VULN-0256"/>
        <s v="VULN-0257"/>
        <s v="VULN-0258"/>
        <s v="VULN-0259"/>
        <s v="VULN-0260"/>
        <s v="VULN-0261"/>
        <s v="VULN-0262"/>
        <s v="VULN-0263"/>
        <s v="VULN-0264"/>
        <s v="VULN-0265"/>
        <s v="VULN-0266"/>
        <s v="VULN-0267"/>
        <s v="VULN-0268"/>
        <s v="VULN-0269"/>
        <s v="VULN-0270"/>
        <s v="VULN-0271"/>
        <s v="VULN-0272"/>
        <s v="VULN-0273"/>
        <s v="VULN-0274"/>
        <s v="VULN-0275"/>
        <s v="VULN-0276"/>
        <s v="VULN-0277"/>
        <s v="VULN-0278"/>
        <s v="VULN-0279"/>
        <s v="VULN-0280"/>
        <s v="VULN-0281"/>
        <s v="VULN-0282"/>
        <s v="VULN-0283"/>
        <s v="VULN-0284"/>
        <s v="VULN-0285"/>
        <s v="VULN-0286"/>
        <s v="VULN-0287"/>
        <s v="VULN-0288"/>
        <s v="VULN-0289"/>
        <s v="VULN-0290"/>
        <s v="VULN-0291"/>
        <s v="VULN-0292"/>
        <s v="VULN-0293"/>
        <s v="VULN-0294"/>
        <s v="VULN-0295"/>
        <s v="VULN-0296"/>
        <s v="VULN-0297"/>
        <s v="VULN-0298"/>
        <s v="VULN-0299"/>
        <s v="VULN-0300"/>
        <s v="VULN-0301"/>
        <s v="VULN-0302"/>
        <s v="VULN-0303"/>
        <s v="VULN-0304"/>
        <s v="VULN-0305"/>
        <s v="VULN-0306"/>
        <s v="VULN-0307"/>
        <s v="VULN-0308"/>
        <s v="VULN-0309"/>
        <s v="VULN-0310"/>
        <s v="VULN-0311"/>
        <s v="VULN-0312"/>
        <s v="VULN-0313"/>
        <s v="VULN-0314"/>
        <s v="VULN-0315"/>
        <s v="VULN-0316"/>
        <s v="VULN-0317"/>
        <s v="VULN-0318"/>
        <s v="VULN-0319"/>
        <s v="VULN-0320"/>
        <s v="VULN-0321"/>
        <s v="VULN-0322"/>
        <s v="VULN-0323"/>
        <s v="VULN-0324"/>
        <s v="VULN-0325"/>
        <s v="VULN-0326"/>
        <s v="VULN-0327"/>
        <s v="VULN-0328"/>
        <s v="VULN-0329"/>
        <s v="VULN-0330"/>
        <s v="VULN-0331"/>
        <s v="VULN-0332"/>
        <s v="VULN-0333"/>
        <s v="VULN-0334"/>
        <s v="VULN-0335"/>
        <s v="VULN-0336"/>
        <s v="VULN-0337"/>
        <s v="VULN-0338"/>
        <s v="VULN-0339"/>
        <s v="VULN-0340"/>
        <s v="VULN-0341"/>
        <s v="VULN-0342"/>
        <s v="VULN-0343"/>
        <s v="VULN-0344"/>
        <s v="VULN-0345"/>
        <s v="VULN-0346"/>
        <s v="VULN-0347"/>
        <s v="VULN-0348"/>
        <s v="VULN-0349"/>
        <s v="VULN-0350"/>
        <s v="VULN-0351"/>
        <s v="VULN-0352"/>
        <s v="VULN-0353"/>
        <s v="VULN-0354"/>
        <s v="VULN-0355"/>
        <s v="VULN-0356"/>
        <s v="VULN-0357"/>
        <s v="VULN-0358"/>
        <s v="VULN-0359"/>
        <s v="VULN-0360"/>
        <s v="VULN-0361"/>
        <s v="VULN-0362"/>
        <s v="VULN-0363"/>
        <s v="VULN-0364"/>
        <s v="VULN-0365"/>
        <s v="VULN-0366"/>
        <s v="VULN-0367"/>
        <s v="VULN-0368"/>
        <s v="VULN-0369"/>
        <s v="VULN-0370"/>
        <s v="VULN-0371"/>
        <s v="VULN-0372"/>
        <s v="VULN-0373"/>
        <s v="VULN-0374"/>
        <s v="VULN-0375"/>
        <s v="VULN-0376"/>
        <s v="VULN-0377"/>
        <s v="VULN-0378"/>
        <s v="VULN-0379"/>
        <s v="VULN-0380"/>
        <s v="VULN-0381"/>
        <s v="VULN-0382"/>
        <s v="VULN-0383"/>
        <s v="VULN-0384"/>
        <s v="VULN-0385"/>
        <s v="VULN-0386"/>
        <s v="VULN-0387"/>
        <s v="VULN-0388"/>
        <s v="VULN-0389"/>
        <s v="VULN-0390"/>
        <s v="VULN-0391"/>
        <s v="VULN-0392"/>
        <s v="VULN-0393"/>
        <s v="VULN-0394"/>
        <s v="VULN-0395"/>
        <s v="VULN-0396"/>
        <s v="VULN-0397"/>
        <s v="VULN-0398"/>
        <s v="VULN-0399"/>
        <s v="VULN-0400"/>
        <s v="VULN-0401"/>
        <s v="VULN-0402"/>
        <s v="VULN-0403"/>
        <s v="VULN-0404"/>
        <s v="VULN-0405"/>
        <s v="VULN-0406"/>
        <s v="VULN-0407"/>
        <s v="VULN-0408"/>
        <s v="VULN-0409"/>
        <s v="VULN-0410"/>
        <s v="VULN-0411"/>
        <s v="VULN-0412"/>
        <s v="VULN-0413"/>
        <s v="VULN-0414"/>
        <s v="VULN-0415"/>
        <s v="VULN-0416"/>
        <s v="VULN-0417"/>
        <s v="VULN-0418"/>
        <s v="VULN-0419"/>
        <s v="VULN-0420"/>
        <s v="VULN-0421"/>
        <s v="VULN-0422"/>
        <s v="VULN-0423"/>
        <s v="VULN-0424"/>
        <s v="VULN-0425"/>
        <s v="VULN-0426"/>
        <s v="VULN-0427"/>
        <s v="VULN-0428"/>
        <s v="VULN-0429"/>
        <s v="VULN-0430"/>
        <s v="VULN-0431"/>
        <s v="VULN-0432"/>
        <s v="VULN-0433"/>
        <s v="VULN-0434"/>
        <s v="VULN-0435"/>
        <s v="VULN-0436"/>
        <s v="VULN-0437"/>
        <s v="VULN-0438"/>
        <s v="VULN-0439"/>
        <s v="VULN-0440"/>
        <s v="VULN-0441"/>
        <s v="VULN-0442"/>
        <s v="VULN-0443"/>
        <s v="VULN-0444"/>
        <s v="VULN-0445"/>
        <s v="VULN-0446"/>
        <s v="VULN-0447"/>
        <s v="VULN-0448"/>
        <s v="VULN-0449"/>
        <s v="VULN-0450"/>
        <s v="VULN-0451"/>
        <s v="VULN-0452"/>
        <s v="VULN-0453"/>
        <s v="VULN-0454"/>
        <s v="VULN-0455"/>
        <s v="VULN-0456"/>
        <s v="VULN-0457"/>
        <s v="VULN-0458"/>
        <s v="VULN-0459"/>
        <s v="VULN-0460"/>
        <s v="VULN-0461"/>
        <s v="VULN-0462"/>
        <s v="VULN-0463"/>
        <s v="VULN-0464"/>
        <s v="VULN-0465"/>
        <s v="VULN-0466"/>
        <s v="VULN-0467"/>
        <s v="VULN-0468"/>
        <s v="VULN-0469"/>
        <s v="VULN-0470"/>
        <s v="VULN-0471"/>
        <s v="VULN-0472"/>
        <s v="VULN-0473"/>
        <s v="VULN-0474"/>
        <s v="VULN-0475"/>
        <s v="VULN-0476"/>
        <s v="VULN-0477"/>
        <s v="VULN-0478"/>
        <s v="VULN-0479"/>
        <s v="VULN-0480"/>
        <s v="VULN-0481"/>
        <s v="VULN-0482"/>
        <s v="VULN-0483"/>
        <s v="VULN-0484"/>
        <s v="VULN-0485"/>
        <s v="VULN-0486"/>
        <s v="VULN-0487"/>
        <s v="VULN-0488"/>
        <s v="VULN-0489"/>
        <s v="VULN-0490"/>
        <s v="VULN-0491"/>
        <s v="VULN-0492"/>
        <s v="VULN-0493"/>
        <s v="VULN-0494"/>
        <s v="VULN-0495"/>
        <s v="VULN-0496"/>
        <s v="VULN-0497"/>
        <s v="VULN-0498"/>
        <s v="VULN-0499"/>
        <s v="VULN-0500"/>
        <s v="VULN-0501"/>
        <s v="VULN-0502"/>
        <s v="VULN-0503"/>
        <s v="VULN-0504"/>
        <s v="VULN-0505"/>
        <s v="VULN-0506"/>
        <s v="VULN-0507"/>
        <s v="VULN-0508"/>
        <s v="VULN-0509"/>
        <s v="VULN-0510"/>
        <s v="VULN-0511"/>
        <s v="VULN-0512"/>
        <s v="VULN-0513"/>
        <s v="VULN-0514"/>
        <s v="VULN-0515"/>
        <s v="VULN-0516"/>
        <s v="VULN-0517"/>
        <s v="VULN-0518"/>
        <s v="VULN-0519"/>
        <s v="VULN-0520"/>
        <s v="VULN-0521"/>
        <s v="VULN-0522"/>
        <s v="VULN-0523"/>
        <s v="VULN-0524"/>
        <s v="VULN-0525"/>
        <s v="VULN-0526"/>
        <s v="VULN-0527"/>
        <s v="VULN-0528"/>
        <s v="VULN-0529"/>
        <s v="VULN-0530"/>
        <s v="VULN-0531"/>
        <s v="VULN-0532"/>
        <s v="VULN-0533"/>
        <s v="VULN-0534"/>
        <s v="VULN-0535"/>
        <s v="VULN-0536"/>
        <s v="VULN-0537"/>
        <s v="VULN-0538"/>
        <s v="VULN-0539"/>
        <s v="VULN-0540"/>
        <s v="VULN-0541"/>
        <s v="VULN-0542"/>
        <s v="VULN-0543"/>
        <s v="VULN-0544"/>
        <s v="VULN-0545"/>
        <s v="VULN-0546"/>
        <s v="VULN-0547"/>
        <s v="VULN-0548"/>
        <s v="VULN-0549"/>
        <s v="VULN-0550"/>
        <s v="VULN-0551"/>
        <s v="VULN-0552"/>
        <s v="VULN-0553"/>
        <s v="VULN-0554"/>
        <s v="VULN-0555"/>
        <s v="VULN-0556"/>
        <s v="VULN-0557"/>
        <s v="VULN-0558"/>
        <s v="VULN-0559"/>
        <s v="VULN-0560"/>
        <s v="VULN-0561"/>
        <s v="VULN-0562"/>
        <s v="VULN-0563"/>
        <s v="VULN-0564"/>
        <s v="VULN-0565"/>
        <s v="VULN-0566"/>
        <s v="VULN-0567"/>
        <s v="VULN-0568"/>
        <s v="VULN-0569"/>
        <s v="VULN-0570"/>
        <s v="VULN-0571"/>
        <s v="VULN-0572"/>
        <s v="VULN-0573"/>
        <s v="VULN-0574"/>
        <s v="VULN-0575"/>
        <s v="VULN-0576"/>
        <s v="VULN-0577"/>
        <s v="VULN-0578"/>
        <s v="VULN-0579"/>
        <s v="VULN-0580"/>
        <s v="VULN-0581"/>
        <s v="VULN-0582"/>
        <s v="VULN-0583"/>
        <s v="VULN-0584"/>
        <s v="VULN-0585"/>
        <s v="VULN-0586"/>
        <s v="VULN-0587"/>
        <s v="VULN-0588"/>
        <s v="VULN-0589"/>
        <s v="VULN-0590"/>
        <s v="VULN-0591"/>
        <s v="VULN-0592"/>
        <s v="VULN-0593"/>
        <s v="VULN-0594"/>
        <s v="VULN-0595"/>
        <s v="VULN-0596"/>
        <s v="VULN-0597"/>
        <s v="VULN-0598"/>
        <s v="VULN-0599"/>
        <s v="VULN-0600"/>
      </sharedItems>
    </cacheField>
    <cacheField name="Asset" numFmtId="0">
      <sharedItems/>
    </cacheField>
    <cacheField name="Asset_Type" numFmtId="0">
      <sharedItems/>
    </cacheField>
    <cacheField name="Product" numFmtId="0">
      <sharedItems/>
    </cacheField>
    <cacheField name="CVE" numFmtId="0">
      <sharedItems/>
    </cacheField>
    <cacheField name="Vulnerability_Type" numFmtId="0">
      <sharedItems count="7">
        <s v="Remote Code Execution"/>
        <s v="Privilege Escalation"/>
        <s v="Path Traversal"/>
        <s v="Command Injection"/>
        <s v="SQL Injection"/>
        <s v="Authentication Bypass"/>
        <s v="Supply Chain / Backdoor"/>
      </sharedItems>
    </cacheField>
    <cacheField name="CVSS" numFmtId="0">
      <sharedItems containsSemiMixedTypes="0" containsString="0" containsNumber="1" minValue="7.5" maxValue="10"/>
    </cacheField>
    <cacheField name="EPSS" numFmtId="10">
      <sharedItems containsSemiMixedTypes="0" containsString="0" containsNumber="1" minValue="0.01" maxValue="0.80200000000000005" count="378">
        <n v="0.21299999999999999"/>
        <n v="0.19"/>
        <n v="8.1000000000000003E-2"/>
        <n v="0.20599999999999999"/>
        <n v="0.01"/>
        <n v="0.155"/>
        <n v="0.20100000000000001"/>
        <n v="7.0999999999999994E-2"/>
        <n v="5.0999999999999997E-2"/>
        <n v="0.34300000000000003"/>
        <n v="0.249"/>
        <n v="3.3000000000000002E-2"/>
        <n v="0.15"/>
        <n v="0.45600000000000002"/>
        <n v="0.26600000000000001"/>
        <n v="0.17399999999999999"/>
        <n v="0.53500000000000003"/>
        <n v="0.17599999999999999"/>
        <n v="0.45100000000000001"/>
        <n v="0.214"/>
        <n v="0.122"/>
        <n v="5.3999999999999999E-2"/>
        <n v="0.14499999999999999"/>
        <n v="0.20799999999999999"/>
        <n v="0.127"/>
        <n v="0.58499999999999996"/>
        <n v="0.23100000000000001"/>
        <n v="0.123"/>
        <n v="0.48599999999999999"/>
        <n v="0.18099999999999999"/>
        <n v="0.33500000000000002"/>
        <n v="5.2999999999999999E-2"/>
        <n v="0.114"/>
        <n v="0.41899999999999998"/>
        <n v="0.14099999999999999"/>
        <n v="0.48399999999999999"/>
        <n v="0.22"/>
        <n v="6.9000000000000006E-2"/>
        <n v="0.503"/>
        <n v="8.6999999999999994E-2"/>
        <n v="0.433"/>
        <n v="0.33400000000000002"/>
        <n v="0.42299999999999999"/>
        <n v="0.33100000000000002"/>
        <n v="0.05"/>
        <n v="0.20699999999999999"/>
        <n v="0.30199999999999999"/>
        <n v="0.21"/>
        <n v="0.13800000000000001"/>
        <n v="6.3E-2"/>
        <n v="0.56000000000000005"/>
        <n v="0.31900000000000001"/>
        <n v="0.14399999999999999"/>
        <n v="0.58899999999999997"/>
        <n v="0.24399999999999999"/>
        <n v="0.30399999999999999"/>
        <n v="0.26400000000000001"/>
        <n v="0.51800000000000002"/>
        <n v="0.215"/>
        <n v="0.60399999999999998"/>
        <n v="0.50700000000000001"/>
        <n v="0.219"/>
        <n v="0.434"/>
        <n v="0.39300000000000002"/>
        <n v="0.80200000000000005"/>
        <n v="0.13600000000000001"/>
        <n v="0.186"/>
        <n v="0.622"/>
        <n v="0.33700000000000002"/>
        <n v="0.08"/>
        <n v="0.113"/>
        <n v="0.13700000000000001"/>
        <n v="0.29599999999999999"/>
        <n v="0.47399999999999998"/>
        <n v="0.51600000000000001"/>
        <n v="4.8000000000000001E-2"/>
        <n v="0.20899999999999999"/>
        <n v="0.48299999999999998"/>
        <n v="4.4999999999999998E-2"/>
        <n v="0.16200000000000001"/>
        <n v="0.35399999999999998"/>
        <n v="0.378"/>
        <n v="0.49199999999999999"/>
        <n v="0.40799999999999997"/>
        <n v="0.38200000000000001"/>
        <n v="0.28100000000000003"/>
        <n v="0.43099999999999999"/>
        <n v="0.77900000000000003"/>
        <n v="2.9000000000000001E-2"/>
        <n v="0.28899999999999998"/>
        <n v="0.69199999999999995"/>
        <n v="0.46600000000000003"/>
        <n v="0.36299999999999999"/>
        <n v="0.1"/>
        <n v="0.16600000000000001"/>
        <n v="0.752"/>
        <n v="0.38100000000000001"/>
        <n v="0.70699999999999996"/>
        <n v="7.4999999999999997E-2"/>
        <n v="4.3999999999999997E-2"/>
        <n v="5.5E-2"/>
        <n v="0.38500000000000001"/>
        <n v="4.9000000000000002E-2"/>
        <n v="0.28299999999999997"/>
        <n v="6.6000000000000003E-2"/>
        <n v="0.38900000000000001"/>
        <n v="0.36799999999999999"/>
        <n v="0.121"/>
        <n v="0.36699999999999999"/>
        <n v="0.40100000000000002"/>
        <n v="6.7000000000000004E-2"/>
        <n v="0.124"/>
        <n v="7.0000000000000007E-2"/>
        <n v="0.36899999999999999"/>
        <n v="0.18"/>
        <n v="0.70799999999999996"/>
        <n v="0.432"/>
        <n v="0.72699999999999998"/>
        <n v="0.38600000000000001"/>
        <n v="0.29199999999999998"/>
        <n v="0.56399999999999995"/>
        <n v="0.248"/>
        <n v="0.12"/>
        <n v="0.14000000000000001"/>
        <n v="0.19400000000000001"/>
        <n v="0.42499999999999999"/>
        <n v="1.2999999999999999E-2"/>
        <n v="0.16500000000000001"/>
        <n v="0.189"/>
        <n v="0.23599999999999999"/>
        <n v="0.377"/>
        <n v="0.17799999999999999"/>
        <n v="0.438"/>
        <n v="0.59199999999999997"/>
        <n v="0.35799999999999998"/>
        <n v="0.28699999999999998"/>
        <n v="0.29899999999999999"/>
        <n v="0.39500000000000002"/>
        <n v="0.183"/>
        <n v="0.154"/>
        <n v="0.17100000000000001"/>
        <n v="7.3999999999999996E-2"/>
        <n v="0.43"/>
        <n v="1.7999999999999999E-2"/>
        <n v="0.24"/>
        <n v="0.22900000000000001"/>
        <n v="0.14799999999999999"/>
        <n v="0.36"/>
        <n v="0.24099999999999999"/>
        <n v="0.46100000000000002"/>
        <n v="0.187"/>
        <n v="0.23400000000000001"/>
        <n v="0.41699999999999998"/>
        <n v="3.5999999999999997E-2"/>
        <n v="0.217"/>
        <n v="0.13100000000000001"/>
        <n v="3.4000000000000002E-2"/>
        <n v="0.45900000000000002"/>
        <n v="9.1999999999999998E-2"/>
        <n v="0.309"/>
        <n v="8.5999999999999993E-2"/>
        <n v="0.125"/>
        <n v="0.246"/>
        <n v="0.152"/>
        <n v="0.28999999999999998"/>
        <n v="0.156"/>
        <n v="0.10100000000000001"/>
        <n v="0.47299999999999998"/>
        <n v="0.108"/>
        <n v="0.20499999999999999"/>
        <n v="8.8999999999999996E-2"/>
        <n v="0.111"/>
        <n v="8.5000000000000006E-2"/>
        <n v="0.185"/>
        <n v="0.218"/>
        <n v="0.64"/>
        <n v="0.51900000000000002"/>
        <n v="0.37"/>
        <n v="0.628"/>
        <n v="0.27500000000000002"/>
        <n v="0.317"/>
        <n v="0.47099999999999997"/>
        <n v="0.57499999999999996"/>
        <n v="0.54800000000000004"/>
        <n v="0.435"/>
        <n v="0.16800000000000001"/>
        <n v="0.192"/>
        <n v="0.128"/>
        <n v="0.17199999999999999"/>
        <n v="0.35499999999999998"/>
        <n v="0.39600000000000002"/>
        <n v="7.1999999999999995E-2"/>
        <n v="0.13"/>
        <n v="0.34599999999999997"/>
        <n v="0.11700000000000001"/>
        <n v="0.27600000000000002"/>
        <n v="0.46500000000000002"/>
        <n v="0.10199999999999999"/>
        <n v="0.314"/>
        <n v="0.375"/>
        <n v="0.16400000000000001"/>
        <n v="0.159"/>
        <n v="0.40600000000000003"/>
        <n v="0.28599999999999998"/>
        <n v="0.48099999999999998"/>
        <n v="0.27300000000000002"/>
        <n v="0.47699999999999998"/>
        <n v="0.38300000000000001"/>
        <n v="0.4"/>
        <n v="0.222"/>
        <n v="0.51500000000000001"/>
        <n v="0.56299999999999994"/>
        <n v="2.5999999999999999E-2"/>
        <n v="0.254"/>
        <n v="0.443"/>
        <n v="0.27800000000000002"/>
        <n v="0.29799999999999999"/>
        <n v="0.36199999999999999"/>
        <n v="0.46800000000000003"/>
        <n v="0.23699999999999999"/>
        <n v="0.54600000000000004"/>
        <n v="0.126"/>
        <n v="0.35299999999999998"/>
        <n v="0.54200000000000004"/>
        <n v="0.03"/>
        <n v="0.46"/>
        <n v="0.17899999999999999"/>
        <n v="0.16300000000000001"/>
        <n v="9.2999999999999999E-2"/>
        <n v="4.2999999999999997E-2"/>
        <n v="0.69899999999999995"/>
        <n v="0.35599999999999998"/>
        <n v="0.30299999999999999"/>
        <n v="0.42399999999999999"/>
        <n v="0.14599999999999999"/>
        <n v="0.52300000000000002"/>
        <n v="8.2000000000000003E-2"/>
        <n v="0.38400000000000001"/>
        <n v="0.06"/>
        <n v="4.5999999999999999E-2"/>
        <n v="0.157"/>
        <n v="0.34799999999999998"/>
        <n v="0.33900000000000002"/>
        <n v="0.27400000000000002"/>
        <n v="0.13900000000000001"/>
        <n v="0.47199999999999998"/>
        <n v="9.7000000000000003E-2"/>
        <n v="7.5999999999999998E-2"/>
        <n v="0.371"/>
        <n v="0.69599999999999995"/>
        <n v="0.23799999999999999"/>
        <n v="0.21099999999999999"/>
        <n v="0.19900000000000001"/>
        <n v="0.54"/>
        <n v="0.20200000000000001"/>
        <n v="0.60199999999999998"/>
        <n v="9.5000000000000001E-2"/>
        <n v="0.63100000000000001"/>
        <n v="0.22600000000000001"/>
        <n v="0.67400000000000004"/>
        <n v="2.8000000000000001E-2"/>
        <n v="0.40400000000000003"/>
        <n v="0.374"/>
        <n v="0.42699999999999999"/>
        <n v="0.14699999999999999"/>
        <n v="5.6000000000000001E-2"/>
        <n v="7.9000000000000001E-2"/>
        <n v="0.61699999999999999"/>
        <n v="0.34"/>
        <n v="0.11600000000000001"/>
        <n v="1.9E-2"/>
        <n v="0.29299999999999998"/>
        <n v="0.3"/>
        <n v="0.247"/>
        <n v="0.105"/>
        <n v="0.32600000000000001"/>
        <n v="0.79900000000000004"/>
        <n v="0.79700000000000004"/>
        <n v="0.39900000000000002"/>
        <n v="0.23"/>
        <n v="8.3000000000000004E-2"/>
        <n v="0.16"/>
        <n v="0.17"/>
        <n v="0.72199999999999998"/>
        <n v="0.184"/>
        <n v="0.51200000000000001"/>
        <n v="4.7E-2"/>
        <n v="0.13500000000000001"/>
        <n v="6.8000000000000005E-2"/>
        <n v="0.44700000000000001"/>
        <n v="0.373"/>
        <n v="0.09"/>
        <n v="0.32100000000000001"/>
        <n v="3.2000000000000001E-2"/>
        <n v="0.193"/>
        <n v="0.63200000000000001"/>
        <n v="0.40699999999999997"/>
        <n v="0.44400000000000001"/>
        <n v="0.32500000000000001"/>
        <n v="0.58599999999999997"/>
        <n v="0.104"/>
        <n v="0.26900000000000002"/>
        <n v="0.22500000000000001"/>
        <n v="0.36599999999999999"/>
        <n v="0.52500000000000002"/>
        <n v="0.53200000000000003"/>
        <n v="0.47799999999999998"/>
        <n v="0.30499999999999999"/>
        <n v="0.153"/>
        <n v="2.3E-2"/>
        <n v="0.106"/>
        <n v="0.56799999999999995"/>
        <n v="6.0999999999999999E-2"/>
        <n v="0.19500000000000001"/>
        <n v="0.52100000000000002"/>
        <n v="0.65900000000000003"/>
        <n v="0.216"/>
        <n v="0.36099999999999999"/>
        <n v="0.439"/>
        <n v="0.19600000000000001"/>
        <n v="0.35099999999999998"/>
        <n v="0.24199999999999999"/>
        <n v="0.19700000000000001"/>
        <n v="0.48699999999999999"/>
        <n v="0.20300000000000001"/>
        <n v="0.45300000000000001"/>
        <n v="4.2000000000000003E-2"/>
        <n v="0.44900000000000001"/>
        <n v="0.255"/>
        <n v="0.26200000000000001"/>
        <n v="9.6000000000000002E-2"/>
        <n v="0.53100000000000003"/>
        <n v="1.4E-2"/>
        <n v="0.33600000000000002"/>
        <n v="0.52600000000000002"/>
        <n v="3.9E-2"/>
        <n v="0.32"/>
        <n v="0.315"/>
        <n v="0.59499999999999997"/>
        <n v="9.0999999999999998E-2"/>
        <n v="0.71899999999999997"/>
        <n v="0.191"/>
        <n v="0.17499999999999999"/>
        <n v="0.50900000000000001"/>
        <n v="0.35199999999999998"/>
        <n v="0.55500000000000005"/>
        <n v="0.71199999999999997"/>
        <n v="0.112"/>
        <n v="0.48899999999999999"/>
        <n v="2.7E-2"/>
        <n v="0.14199999999999999"/>
        <n v="0.26500000000000001"/>
        <n v="8.4000000000000005E-2"/>
        <n v="0.34699999999999998"/>
        <n v="0.51400000000000001"/>
        <n v="0.52"/>
        <n v="0.30599999999999999"/>
        <n v="0.51100000000000001"/>
        <n v="0.19800000000000001"/>
        <n v="0.33300000000000002"/>
        <n v="0.51700000000000002"/>
        <n v="0.34399999999999997"/>
        <n v="0.41499999999999998"/>
        <n v="0.22700000000000001"/>
        <n v="0.151"/>
        <n v="0.502"/>
        <n v="4.1000000000000002E-2"/>
        <n v="0.107"/>
        <n v="0.75700000000000001"/>
        <n v="0.72499999999999998"/>
        <n v="2.1000000000000001E-2"/>
        <n v="0.47899999999999998"/>
        <n v="7.6999999999999999E-2"/>
        <n v="0.56899999999999995"/>
        <n v="0.13400000000000001"/>
        <n v="0.23200000000000001"/>
        <n v="0.252"/>
        <n v="0.504"/>
      </sharedItems>
    </cacheField>
    <cacheField name="CISA_KEV" numFmtId="0">
      <sharedItems count="2">
        <s v="Yes"/>
        <s v="No"/>
      </sharedItems>
    </cacheField>
    <cacheField name="Exposure" numFmtId="0">
      <sharedItems/>
    </cacheField>
    <cacheField name="Environment" numFmtId="0">
      <sharedItems count="3">
        <s v="Production"/>
        <s v="Corporate"/>
        <s v="Development"/>
      </sharedItems>
    </cacheField>
    <cacheField name="Department" numFmtId="0">
      <sharedItems/>
    </cacheField>
    <cacheField name="Owner" numFmtId="0">
      <sharedItems/>
    </cacheField>
    <cacheField name="Discovered_Date" numFmtId="14">
      <sharedItems containsSemiMixedTypes="0" containsNonDate="0" containsDate="1" containsString="0" minDate="2026-08-01T00:00:00" maxDate="2026-09-11T00:00:00"/>
    </cacheField>
    <cacheField name="SLA_Due_Date" numFmtId="14">
      <sharedItems containsSemiMixedTypes="0" containsNonDate="0" containsDate="1" containsString="0" minDate="2026-08-05T00:00:00" maxDate="2026-09-25T00:00:00"/>
    </cacheField>
    <cacheField name="Status" numFmtId="0">
      <sharedItems count="5">
        <s v="Open"/>
        <s v="In Progress"/>
        <s v="Mitigated"/>
        <s v="Closed"/>
        <s v="Risk Accepted"/>
      </sharedItems>
    </cacheField>
    <cacheField name="Remediated_Date" numFmtId="14">
      <sharedItems containsNonDate="0" containsDate="1" containsString="0" containsBlank="1" minDate="2026-08-07T00:00:00" maxDate="2026-10-16T00:00:00"/>
    </cacheField>
    <cacheField name="Internet_Exposed" numFmtId="0">
      <sharedItems count="2">
        <s v="No"/>
        <s v="Yes"/>
      </sharedItems>
    </cacheField>
    <cacheField name="Risk_Score" numFmtId="0">
      <sharedItems containsSemiMixedTypes="0" containsString="0" containsNumber="1" containsInteger="1" minValue="2" maxValue="15"/>
    </cacheField>
    <cacheField name="Priority" numFmtId="0">
      <sharedItems count="5">
        <s v="Priority 2"/>
        <s v="Not Open"/>
        <s v="Priority 4"/>
        <s v="Priority 3"/>
        <s v="Priority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s v="WIN-004"/>
    <s v="Windows Server"/>
    <s v="Microsoft SQL Server"/>
    <s v="CVE-2021-44228"/>
    <x v="0"/>
    <n v="10"/>
    <x v="0"/>
    <x v="0"/>
    <s v="Restricted"/>
    <x v="0"/>
    <s v="IT"/>
    <s v="João Ribeiro"/>
    <d v="2026-08-09T00:00:00"/>
    <d v="2026-08-16T00:00:00"/>
    <x v="0"/>
    <m/>
    <x v="0"/>
    <n v="12"/>
    <x v="0"/>
  </r>
  <r>
    <x v="1"/>
    <s v="DAT-005"/>
    <s v="Database"/>
    <s v="Apache HTTP Server"/>
    <s v="CVE-2026-1847"/>
    <x v="0"/>
    <n v="9.8000000000000007"/>
    <x v="1"/>
    <x v="1"/>
    <s v="Internal"/>
    <x v="1"/>
    <s v="Operations"/>
    <s v="Henrique Dias"/>
    <d v="2026-08-14T00:00:00"/>
    <d v="2026-08-21T00:00:00"/>
    <x v="1"/>
    <m/>
    <x v="0"/>
    <n v="6"/>
    <x v="1"/>
  </r>
  <r>
    <x v="2"/>
    <s v="LIN-092"/>
    <s v="Linux Server"/>
    <s v="Jenkins"/>
    <s v="CVE-2022-30190"/>
    <x v="0"/>
    <n v="7.8"/>
    <x v="2"/>
    <x v="1"/>
    <s v="Internal"/>
    <x v="0"/>
    <s v="Operations"/>
    <s v="Isabela Nunes"/>
    <d v="2026-09-04T00:00:00"/>
    <d v="2026-09-18T00:00:00"/>
    <x v="0"/>
    <m/>
    <x v="0"/>
    <n v="5"/>
    <x v="2"/>
  </r>
  <r>
    <x v="3"/>
    <s v="WOR-104"/>
    <s v="Workstation"/>
    <s v="OpenSSH"/>
    <s v="CVE-2026-1847"/>
    <x v="0"/>
    <n v="10"/>
    <x v="3"/>
    <x v="1"/>
    <s v="Internet-facing"/>
    <x v="1"/>
    <s v="Operations"/>
    <s v="Henrique Dias"/>
    <d v="2026-08-28T00:00:00"/>
    <d v="2026-09-04T00:00:00"/>
    <x v="0"/>
    <m/>
    <x v="1"/>
    <n v="10"/>
    <x v="0"/>
  </r>
  <r>
    <x v="4"/>
    <s v="WOR-014"/>
    <s v="Workstation"/>
    <s v="GitLab"/>
    <s v="CVE-2026-2173"/>
    <x v="1"/>
    <n v="8.8000000000000007"/>
    <x v="4"/>
    <x v="1"/>
    <s v="Restricted"/>
    <x v="0"/>
    <s v="Engineering"/>
    <s v="Diego Alves"/>
    <d v="2026-08-07T00:00:00"/>
    <d v="2026-08-21T00:00:00"/>
    <x v="0"/>
    <m/>
    <x v="0"/>
    <n v="4"/>
    <x v="2"/>
  </r>
  <r>
    <x v="5"/>
    <s v="WOR-104"/>
    <s v="Workstation"/>
    <s v="Jenkins"/>
    <s v="CVE-2026-1847"/>
    <x v="0"/>
    <n v="9.8000000000000007"/>
    <x v="5"/>
    <x v="1"/>
    <s v="Internal"/>
    <x v="2"/>
    <s v="Operations"/>
    <s v="Henrique Dias"/>
    <d v="2026-08-30T00:00:00"/>
    <d v="2026-09-06T00:00:00"/>
    <x v="2"/>
    <d v="2026-09-25T00:00:00"/>
    <x v="0"/>
    <n v="5"/>
    <x v="1"/>
  </r>
  <r>
    <x v="6"/>
    <s v="WOR-107"/>
    <s v="Workstation"/>
    <s v="Windows Server"/>
    <s v="CVE-2022-30190"/>
    <x v="0"/>
    <n v="8.1999999999999993"/>
    <x v="6"/>
    <x v="1"/>
    <s v="Internet-facing"/>
    <x v="0"/>
    <s v="Operations"/>
    <s v="Henrique Dias"/>
    <d v="2026-08-24T00:00:00"/>
    <d v="2026-09-07T00:00:00"/>
    <x v="0"/>
    <m/>
    <x v="1"/>
    <n v="8"/>
    <x v="3"/>
  </r>
  <r>
    <x v="7"/>
    <s v="FIR-030"/>
    <s v="Firewall"/>
    <s v="Apache HTTP Server"/>
    <s v="CVE-2025-7710"/>
    <x v="2"/>
    <n v="7.5"/>
    <x v="7"/>
    <x v="1"/>
    <s v="Internal"/>
    <x v="0"/>
    <s v="Finance"/>
    <s v="Bruno Lima"/>
    <d v="2026-08-15T00:00:00"/>
    <d v="2026-08-29T00:00:00"/>
    <x v="0"/>
    <m/>
    <x v="0"/>
    <n v="5"/>
    <x v="2"/>
  </r>
  <r>
    <x v="8"/>
    <s v="DAT-082"/>
    <s v="Database"/>
    <s v="OpenSSH"/>
    <s v="CVE-2024-6387"/>
    <x v="0"/>
    <n v="8.3000000000000007"/>
    <x v="8"/>
    <x v="0"/>
    <s v="Internet-facing"/>
    <x v="0"/>
    <s v="HR"/>
    <s v="Elisa Rocha"/>
    <d v="2026-08-14T00:00:00"/>
    <d v="2026-08-28T00:00:00"/>
    <x v="0"/>
    <m/>
    <x v="1"/>
    <n v="10"/>
    <x v="0"/>
  </r>
  <r>
    <x v="9"/>
    <s v="FIR-022"/>
    <s v="Firewall"/>
    <s v="Jenkins"/>
    <s v="CVE-2023-34362"/>
    <x v="3"/>
    <n v="9.8000000000000007"/>
    <x v="9"/>
    <x v="1"/>
    <s v="Internal"/>
    <x v="2"/>
    <s v="Operations"/>
    <s v="Henrique Dias"/>
    <d v="2026-08-16T00:00:00"/>
    <d v="2026-08-19T00:00:00"/>
    <x v="3"/>
    <d v="2026-09-04T00:00:00"/>
    <x v="0"/>
    <n v="6"/>
    <x v="1"/>
  </r>
  <r>
    <x v="10"/>
    <s v="WOR-108"/>
    <s v="Workstation"/>
    <s v="PostgreSQL"/>
    <s v="CVE-2026-1847"/>
    <x v="0"/>
    <n v="10"/>
    <x v="5"/>
    <x v="1"/>
    <s v="Internet-facing"/>
    <x v="0"/>
    <s v="IT"/>
    <s v="Larissa Freitas"/>
    <d v="2026-08-03T00:00:00"/>
    <d v="2026-08-10T00:00:00"/>
    <x v="3"/>
    <d v="2026-08-30T00:00:00"/>
    <x v="1"/>
    <n v="10"/>
    <x v="1"/>
  </r>
  <r>
    <x v="11"/>
    <s v="LIN-117"/>
    <s v="Linux Server"/>
    <s v="Jenkins"/>
    <s v="CVE-2023-23397"/>
    <x v="1"/>
    <n v="9.8000000000000007"/>
    <x v="10"/>
    <x v="0"/>
    <s v="Internet-facing"/>
    <x v="0"/>
    <s v="Finance"/>
    <s v="Bruno Lima"/>
    <d v="2026-09-01T00:00:00"/>
    <d v="2026-09-08T00:00:00"/>
    <x v="0"/>
    <m/>
    <x v="1"/>
    <n v="13"/>
    <x v="4"/>
  </r>
  <r>
    <x v="12"/>
    <s v="WOR-018"/>
    <s v="Workstation"/>
    <s v="Jenkins"/>
    <s v="CVE-2025-3021"/>
    <x v="4"/>
    <n v="9"/>
    <x v="11"/>
    <x v="1"/>
    <s v="Internet-facing"/>
    <x v="2"/>
    <s v="Engineering"/>
    <s v="Diego Alves"/>
    <d v="2026-09-05T00:00:00"/>
    <d v="2026-09-12T00:00:00"/>
    <x v="0"/>
    <m/>
    <x v="1"/>
    <n v="5"/>
    <x v="2"/>
  </r>
  <r>
    <x v="13"/>
    <s v="DAT-047"/>
    <s v="Database"/>
    <s v="OpenSSH"/>
    <s v="CVE-2025-3021"/>
    <x v="4"/>
    <n v="8.6"/>
    <x v="12"/>
    <x v="1"/>
    <s v="Internal"/>
    <x v="0"/>
    <s v="Operations"/>
    <s v="Henrique Dias"/>
    <d v="2026-09-02T00:00:00"/>
    <d v="2026-09-16T00:00:00"/>
    <x v="1"/>
    <m/>
    <x v="0"/>
    <n v="5"/>
    <x v="1"/>
  </r>
  <r>
    <x v="14"/>
    <s v="WIN-020"/>
    <s v="Windows Server"/>
    <s v="OpenSSH"/>
    <s v="CVE-2022-30190"/>
    <x v="0"/>
    <n v="7.8"/>
    <x v="13"/>
    <x v="1"/>
    <s v="Internal"/>
    <x v="1"/>
    <s v="Legal"/>
    <s v="Marcos Teixeira"/>
    <d v="2026-08-28T00:00:00"/>
    <d v="2026-09-11T00:00:00"/>
    <x v="0"/>
    <m/>
    <x v="0"/>
    <n v="5"/>
    <x v="2"/>
  </r>
  <r>
    <x v="15"/>
    <s v="WEB-060"/>
    <s v="Web Server"/>
    <s v="Microsoft SQL Server"/>
    <s v="CVE-2023-34362"/>
    <x v="3"/>
    <n v="9.8000000000000007"/>
    <x v="14"/>
    <x v="1"/>
    <s v="Internal"/>
    <x v="0"/>
    <s v="Sales"/>
    <s v="Felipe Martins"/>
    <d v="2026-09-05T00:00:00"/>
    <d v="2026-09-12T00:00:00"/>
    <x v="0"/>
    <m/>
    <x v="0"/>
    <n v="8"/>
    <x v="3"/>
  </r>
  <r>
    <x v="16"/>
    <s v="FIR-015"/>
    <s v="Firewall"/>
    <s v="Linux Kernel"/>
    <s v="CVE-2022-30190"/>
    <x v="0"/>
    <n v="8.1999999999999993"/>
    <x v="15"/>
    <x v="1"/>
    <s v="Internet-facing"/>
    <x v="0"/>
    <s v="IT"/>
    <s v="Larissa Freitas"/>
    <d v="2026-08-18T00:00:00"/>
    <d v="2026-09-01T00:00:00"/>
    <x v="0"/>
    <m/>
    <x v="1"/>
    <n v="7"/>
    <x v="3"/>
  </r>
  <r>
    <x v="17"/>
    <s v="WOR-056"/>
    <s v="Workstation"/>
    <s v="Confluence"/>
    <s v="CVE-2025-4912"/>
    <x v="5"/>
    <n v="9.1"/>
    <x v="16"/>
    <x v="1"/>
    <s v="Internal"/>
    <x v="0"/>
    <s v="Finance"/>
    <s v="Bruno Lima"/>
    <d v="2026-08-01T00:00:00"/>
    <d v="2026-08-08T00:00:00"/>
    <x v="4"/>
    <m/>
    <x v="0"/>
    <n v="8"/>
    <x v="1"/>
  </r>
  <r>
    <x v="18"/>
    <s v="LIN-065"/>
    <s v="Linux Server"/>
    <s v="VMware ESXi"/>
    <s v="CVE-2026-2173"/>
    <x v="1"/>
    <n v="8.8000000000000007"/>
    <x v="17"/>
    <x v="1"/>
    <s v="Restricted"/>
    <x v="0"/>
    <s v="Operations"/>
    <s v="Henrique Dias"/>
    <d v="2026-08-20T00:00:00"/>
    <d v="2026-09-03T00:00:00"/>
    <x v="2"/>
    <d v="2026-09-23T00:00:00"/>
    <x v="0"/>
    <n v="5"/>
    <x v="1"/>
  </r>
  <r>
    <x v="19"/>
    <s v="WOR-098"/>
    <s v="Workstation"/>
    <s v="Linux Kernel"/>
    <s v="CVE-2025-4912"/>
    <x v="5"/>
    <n v="9.1"/>
    <x v="18"/>
    <x v="1"/>
    <s v="Internal"/>
    <x v="0"/>
    <s v="Engineering"/>
    <s v="Diego Alves"/>
    <d v="2026-09-03T00:00:00"/>
    <d v="2026-09-10T00:00:00"/>
    <x v="0"/>
    <m/>
    <x v="0"/>
    <n v="7"/>
    <x v="3"/>
  </r>
  <r>
    <x v="20"/>
    <s v="WIN-015"/>
    <s v="Windows Server"/>
    <s v="Microsoft SQL Server"/>
    <s v="CVE-2024-6387"/>
    <x v="0"/>
    <n v="8.1"/>
    <x v="19"/>
    <x v="0"/>
    <s v="Internal"/>
    <x v="1"/>
    <s v="Sales"/>
    <s v="Felipe Martins"/>
    <d v="2026-08-16T00:00:00"/>
    <d v="2026-08-30T00:00:00"/>
    <x v="0"/>
    <m/>
    <x v="0"/>
    <n v="8"/>
    <x v="3"/>
  </r>
  <r>
    <x v="21"/>
    <s v="FIR-063"/>
    <s v="Firewall"/>
    <s v="Linux Kernel"/>
    <s v="CVE-2026-2173"/>
    <x v="1"/>
    <n v="8.8000000000000007"/>
    <x v="20"/>
    <x v="1"/>
    <s v="Internal"/>
    <x v="0"/>
    <s v="Finance"/>
    <s v="Bruno Lima"/>
    <d v="2026-08-09T00:00:00"/>
    <d v="2026-08-19T00:00:00"/>
    <x v="2"/>
    <d v="2026-08-21T00:00:00"/>
    <x v="0"/>
    <n v="5"/>
    <x v="1"/>
  </r>
  <r>
    <x v="22"/>
    <s v="WEB-055"/>
    <s v="Web Server"/>
    <s v="Linux Kernel"/>
    <s v="CVE-2025-3021"/>
    <x v="4"/>
    <n v="8.6"/>
    <x v="21"/>
    <x v="1"/>
    <s v="Internet-facing"/>
    <x v="0"/>
    <s v="Operations"/>
    <s v="Isabela Nunes"/>
    <d v="2026-08-13T00:00:00"/>
    <d v="2026-08-27T00:00:00"/>
    <x v="0"/>
    <m/>
    <x v="1"/>
    <n v="7"/>
    <x v="3"/>
  </r>
  <r>
    <x v="23"/>
    <s v="FIR-048"/>
    <s v="Firewall"/>
    <s v="Linux Kernel"/>
    <s v="CVE-2024-21413"/>
    <x v="0"/>
    <n v="9.8000000000000007"/>
    <x v="22"/>
    <x v="0"/>
    <s v="Restricted"/>
    <x v="0"/>
    <s v="IT"/>
    <s v="Larissa Freitas"/>
    <d v="2026-08-16T00:00:00"/>
    <d v="2026-08-23T00:00:00"/>
    <x v="1"/>
    <m/>
    <x v="0"/>
    <n v="10"/>
    <x v="1"/>
  </r>
  <r>
    <x v="24"/>
    <s v="WEB-071"/>
    <s v="Web Server"/>
    <s v="Windows Server"/>
    <s v="CVE-2025-3021"/>
    <x v="4"/>
    <n v="9"/>
    <x v="23"/>
    <x v="1"/>
    <s v="Internet-facing"/>
    <x v="0"/>
    <s v="Finance"/>
    <s v="Ana Costa"/>
    <d v="2026-08-15T00:00:00"/>
    <d v="2026-08-21T00:00:00"/>
    <x v="0"/>
    <m/>
    <x v="1"/>
    <n v="9"/>
    <x v="3"/>
  </r>
  <r>
    <x v="25"/>
    <s v="WIN-111"/>
    <s v="Windows Server"/>
    <s v="Apache HTTP Server"/>
    <s v="CVE-2024-6387"/>
    <x v="0"/>
    <n v="8.1"/>
    <x v="24"/>
    <x v="0"/>
    <s v="Internal"/>
    <x v="2"/>
    <s v="Finance"/>
    <s v="Ana Costa"/>
    <d v="2026-08-18T00:00:00"/>
    <d v="2026-09-01T00:00:00"/>
    <x v="3"/>
    <d v="2026-09-02T00:00:00"/>
    <x v="0"/>
    <n v="6"/>
    <x v="1"/>
  </r>
  <r>
    <x v="26"/>
    <s v="WEB-074"/>
    <s v="Web Server"/>
    <s v="PostgreSQL"/>
    <s v="CVE-2024-21413"/>
    <x v="0"/>
    <n v="9.8000000000000007"/>
    <x v="25"/>
    <x v="1"/>
    <s v="Internal"/>
    <x v="1"/>
    <s v="IT"/>
    <s v="Larissa Freitas"/>
    <d v="2026-08-27T00:00:00"/>
    <d v="2026-09-02T00:00:00"/>
    <x v="0"/>
    <m/>
    <x v="0"/>
    <n v="8"/>
    <x v="3"/>
  </r>
  <r>
    <x v="27"/>
    <s v="DAT-053"/>
    <s v="Database"/>
    <s v="Jenkins"/>
    <s v="CVE-2024-21413"/>
    <x v="0"/>
    <n v="10"/>
    <x v="8"/>
    <x v="0"/>
    <s v="Internet-facing"/>
    <x v="1"/>
    <s v="HR"/>
    <s v="Elisa Rocha"/>
    <d v="2026-08-07T00:00:00"/>
    <d v="2026-08-11T00:00:00"/>
    <x v="3"/>
    <d v="2026-08-15T00:00:00"/>
    <x v="1"/>
    <n v="12"/>
    <x v="1"/>
  </r>
  <r>
    <x v="28"/>
    <s v="LIN-069"/>
    <s v="Linux Server"/>
    <s v="OpenSSH"/>
    <s v="CVE-2024-21413"/>
    <x v="0"/>
    <n v="9.8000000000000007"/>
    <x v="26"/>
    <x v="0"/>
    <s v="Internal"/>
    <x v="2"/>
    <s v="Engineering"/>
    <s v="Carla Mendes"/>
    <d v="2026-08-18T00:00:00"/>
    <d v="2026-08-25T00:00:00"/>
    <x v="4"/>
    <m/>
    <x v="0"/>
    <n v="9"/>
    <x v="1"/>
  </r>
  <r>
    <x v="29"/>
    <s v="WEB-013"/>
    <s v="Web Server"/>
    <s v="VMware ESXi"/>
    <s v="CVE-2026-1847"/>
    <x v="0"/>
    <n v="9.8000000000000007"/>
    <x v="27"/>
    <x v="1"/>
    <s v="Restricted"/>
    <x v="0"/>
    <s v="Sales"/>
    <s v="Felipe Martins"/>
    <d v="2026-09-04T00:00:00"/>
    <d v="2026-09-11T00:00:00"/>
    <x v="1"/>
    <m/>
    <x v="0"/>
    <n v="7"/>
    <x v="1"/>
  </r>
  <r>
    <x v="30"/>
    <s v="LIN-022"/>
    <s v="Linux Server"/>
    <s v="Confluence"/>
    <s v="CVE-2024-3094"/>
    <x v="6"/>
    <n v="10"/>
    <x v="28"/>
    <x v="0"/>
    <s v="Internal"/>
    <x v="0"/>
    <s v="Legal"/>
    <s v="Marcos Teixeira"/>
    <d v="2026-08-26T00:00:00"/>
    <d v="2026-09-02T00:00:00"/>
    <x v="3"/>
    <d v="2026-09-07T00:00:00"/>
    <x v="0"/>
    <n v="12"/>
    <x v="1"/>
  </r>
  <r>
    <x v="31"/>
    <s v="DAT-034"/>
    <s v="Database"/>
    <s v="Microsoft SQL Server"/>
    <s v="CVE-2024-21413"/>
    <x v="0"/>
    <n v="9.8000000000000007"/>
    <x v="29"/>
    <x v="0"/>
    <s v="Restricted"/>
    <x v="1"/>
    <s v="Finance"/>
    <s v="Ana Costa"/>
    <d v="2026-09-05T00:00:00"/>
    <d v="2026-09-12T00:00:00"/>
    <x v="3"/>
    <d v="2026-10-08T00:00:00"/>
    <x v="0"/>
    <n v="9"/>
    <x v="1"/>
  </r>
  <r>
    <x v="32"/>
    <s v="WOR-028"/>
    <s v="Workstation"/>
    <s v="Windows Server"/>
    <s v="CVE-2026-1847"/>
    <x v="0"/>
    <n v="9.8000000000000007"/>
    <x v="30"/>
    <x v="1"/>
    <s v="Internal"/>
    <x v="0"/>
    <s v="Engineering"/>
    <s v="Carla Mendes"/>
    <d v="2026-09-04T00:00:00"/>
    <d v="2026-09-08T00:00:00"/>
    <x v="3"/>
    <d v="2026-09-09T00:00:00"/>
    <x v="0"/>
    <n v="8"/>
    <x v="1"/>
  </r>
  <r>
    <x v="33"/>
    <s v="DAT-065"/>
    <s v="Database"/>
    <s v="OpenSSH"/>
    <s v="CVE-2023-34362"/>
    <x v="3"/>
    <n v="9.8000000000000007"/>
    <x v="5"/>
    <x v="1"/>
    <s v="Internal"/>
    <x v="2"/>
    <s v="Operations"/>
    <s v="Henrique Dias"/>
    <d v="2026-08-04T00:00:00"/>
    <d v="2026-08-11T00:00:00"/>
    <x v="2"/>
    <d v="2026-08-11T00:00:00"/>
    <x v="0"/>
    <n v="5"/>
    <x v="1"/>
  </r>
  <r>
    <x v="34"/>
    <s v="WEB-009"/>
    <s v="Web Server"/>
    <s v="PostgreSQL"/>
    <s v="CVE-2022-30190"/>
    <x v="0"/>
    <n v="7.8"/>
    <x v="31"/>
    <x v="1"/>
    <s v="Internal"/>
    <x v="2"/>
    <s v="Finance"/>
    <s v="Ana Costa"/>
    <d v="2026-08-26T00:00:00"/>
    <d v="2026-09-07T00:00:00"/>
    <x v="3"/>
    <d v="2026-08-30T00:00:00"/>
    <x v="0"/>
    <n v="3"/>
    <x v="1"/>
  </r>
  <r>
    <x v="35"/>
    <s v="FIR-075"/>
    <s v="Firewall"/>
    <s v="Linux Kernel"/>
    <s v="CVE-2023-23397"/>
    <x v="1"/>
    <n v="9.8000000000000007"/>
    <x v="32"/>
    <x v="0"/>
    <s v="Internal"/>
    <x v="1"/>
    <s v="Sales"/>
    <s v="Gabriela Souza"/>
    <d v="2026-08-17T00:00:00"/>
    <d v="2026-08-21T00:00:00"/>
    <x v="2"/>
    <d v="2026-09-03T00:00:00"/>
    <x v="0"/>
    <n v="9"/>
    <x v="1"/>
  </r>
  <r>
    <x v="36"/>
    <s v="LIN-086"/>
    <s v="Linux Server"/>
    <s v="Microsoft SQL Server"/>
    <s v="CVE-2022-30190"/>
    <x v="0"/>
    <n v="7.8"/>
    <x v="33"/>
    <x v="1"/>
    <s v="Internal"/>
    <x v="1"/>
    <s v="Sales"/>
    <s v="Felipe Martins"/>
    <d v="2026-08-30T00:00:00"/>
    <d v="2026-09-13T00:00:00"/>
    <x v="0"/>
    <m/>
    <x v="0"/>
    <n v="5"/>
    <x v="2"/>
  </r>
  <r>
    <x v="37"/>
    <s v="DAT-080"/>
    <s v="Database"/>
    <s v="Apache HTTP Server"/>
    <s v="CVE-2023-23397"/>
    <x v="1"/>
    <n v="9.8000000000000007"/>
    <x v="34"/>
    <x v="0"/>
    <s v="Internal"/>
    <x v="0"/>
    <s v="Finance"/>
    <s v="Ana Costa"/>
    <d v="2026-08-14T00:00:00"/>
    <d v="2026-08-21T00:00:00"/>
    <x v="1"/>
    <m/>
    <x v="0"/>
    <n v="10"/>
    <x v="1"/>
  </r>
  <r>
    <x v="38"/>
    <s v="WIN-113"/>
    <s v="Windows Server"/>
    <s v="FortiOS"/>
    <s v="CVE-2025-3021"/>
    <x v="4"/>
    <n v="8.6"/>
    <x v="35"/>
    <x v="1"/>
    <s v="Internet-facing"/>
    <x v="1"/>
    <s v="HR"/>
    <s v="Elisa Rocha"/>
    <d v="2026-08-19T00:00:00"/>
    <d v="2026-08-30T00:00:00"/>
    <x v="2"/>
    <d v="2026-09-23T00:00:00"/>
    <x v="1"/>
    <n v="7"/>
    <x v="1"/>
  </r>
  <r>
    <x v="39"/>
    <s v="WEB-039"/>
    <s v="Web Server"/>
    <s v="Apache HTTP Server"/>
    <s v="CVE-2022-30190"/>
    <x v="0"/>
    <n v="7.8"/>
    <x v="36"/>
    <x v="1"/>
    <s v="Internet-facing"/>
    <x v="0"/>
    <s v="IT"/>
    <s v="João Ribeiro"/>
    <d v="2026-08-09T00:00:00"/>
    <d v="2026-08-23T00:00:00"/>
    <x v="0"/>
    <m/>
    <x v="1"/>
    <n v="8"/>
    <x v="3"/>
  </r>
  <r>
    <x v="40"/>
    <s v="WEB-020"/>
    <s v="Web Server"/>
    <s v="Microsoft SQL Server"/>
    <s v="CVE-2025-7710"/>
    <x v="2"/>
    <n v="7.5"/>
    <x v="37"/>
    <x v="1"/>
    <s v="Internet-facing"/>
    <x v="0"/>
    <s v="IT"/>
    <s v="Larissa Freitas"/>
    <d v="2026-09-08T00:00:00"/>
    <d v="2026-09-19T00:00:00"/>
    <x v="3"/>
    <d v="2026-09-23T00:00:00"/>
    <x v="1"/>
    <n v="7"/>
    <x v="1"/>
  </r>
  <r>
    <x v="41"/>
    <s v="DAT-033"/>
    <s v="Database"/>
    <s v="Apache HTTP Server"/>
    <s v="CVE-2026-1847"/>
    <x v="0"/>
    <n v="9.8000000000000007"/>
    <x v="10"/>
    <x v="1"/>
    <s v="Internet-facing"/>
    <x v="0"/>
    <s v="Operations"/>
    <s v="Henrique Dias"/>
    <d v="2026-09-10T00:00:00"/>
    <d v="2026-09-17T00:00:00"/>
    <x v="2"/>
    <d v="2026-09-29T00:00:00"/>
    <x v="1"/>
    <n v="10"/>
    <x v="1"/>
  </r>
  <r>
    <x v="42"/>
    <s v="WOR-099"/>
    <s v="Workstation"/>
    <s v="VMware ESXi"/>
    <s v="CVE-2025-4912"/>
    <x v="5"/>
    <n v="9.1"/>
    <x v="38"/>
    <x v="1"/>
    <s v="Internal"/>
    <x v="2"/>
    <s v="Finance"/>
    <s v="Bruno Lima"/>
    <d v="2026-08-17T00:00:00"/>
    <d v="2026-08-20T00:00:00"/>
    <x v="0"/>
    <m/>
    <x v="0"/>
    <n v="6"/>
    <x v="2"/>
  </r>
  <r>
    <x v="43"/>
    <s v="WIN-015"/>
    <s v="Windows Server"/>
    <s v="Jenkins"/>
    <s v="CVE-2026-2173"/>
    <x v="1"/>
    <n v="8.8000000000000007"/>
    <x v="39"/>
    <x v="1"/>
    <s v="Internet-facing"/>
    <x v="0"/>
    <s v="Operations"/>
    <s v="Isabela Nunes"/>
    <d v="2026-08-10T00:00:00"/>
    <d v="2026-08-24T00:00:00"/>
    <x v="1"/>
    <m/>
    <x v="1"/>
    <n v="7"/>
    <x v="1"/>
  </r>
  <r>
    <x v="44"/>
    <s v="WEB-019"/>
    <s v="Web Server"/>
    <s v="OpenSSH"/>
    <s v="CVE-2024-3094"/>
    <x v="6"/>
    <n v="10"/>
    <x v="40"/>
    <x v="0"/>
    <s v="Restricted"/>
    <x v="0"/>
    <s v="Operations"/>
    <s v="Isabela Nunes"/>
    <d v="2026-08-24T00:00:00"/>
    <d v="2026-08-31T00:00:00"/>
    <x v="2"/>
    <d v="2026-08-28T00:00:00"/>
    <x v="0"/>
    <n v="12"/>
    <x v="1"/>
  </r>
  <r>
    <x v="45"/>
    <s v="FIR-032"/>
    <s v="Firewall"/>
    <s v="Apache HTTP Server"/>
    <s v="CVE-2022-30190"/>
    <x v="0"/>
    <n v="7.8"/>
    <x v="41"/>
    <x v="1"/>
    <s v="Restricted"/>
    <x v="2"/>
    <s v="Engineering"/>
    <s v="Carla Mendes"/>
    <d v="2026-08-23T00:00:00"/>
    <d v="2026-09-06T00:00:00"/>
    <x v="2"/>
    <d v="2026-09-20T00:00:00"/>
    <x v="0"/>
    <n v="4"/>
    <x v="1"/>
  </r>
  <r>
    <x v="46"/>
    <s v="LIN-103"/>
    <s v="Linux Server"/>
    <s v="GitLab"/>
    <s v="CVE-2025-4912"/>
    <x v="5"/>
    <n v="9.1"/>
    <x v="42"/>
    <x v="1"/>
    <s v="Internet-facing"/>
    <x v="2"/>
    <s v="Engineering"/>
    <s v="Carla Mendes"/>
    <d v="2026-08-02T00:00:00"/>
    <d v="2026-08-06T00:00:00"/>
    <x v="3"/>
    <d v="2026-08-30T00:00:00"/>
    <x v="1"/>
    <n v="7"/>
    <x v="1"/>
  </r>
  <r>
    <x v="47"/>
    <s v="LIN-101"/>
    <s v="Linux Server"/>
    <s v="Apache HTTP Server"/>
    <s v="CVE-2021-44228"/>
    <x v="0"/>
    <n v="10"/>
    <x v="43"/>
    <x v="0"/>
    <s v="Internet-facing"/>
    <x v="0"/>
    <s v="HR"/>
    <s v="Elisa Rocha"/>
    <d v="2026-08-03T00:00:00"/>
    <d v="2026-08-10T00:00:00"/>
    <x v="1"/>
    <m/>
    <x v="1"/>
    <n v="14"/>
    <x v="1"/>
  </r>
  <r>
    <x v="48"/>
    <s v="DAT-045"/>
    <s v="Database"/>
    <s v="PostgreSQL"/>
    <s v="CVE-2025-7710"/>
    <x v="2"/>
    <n v="7.5"/>
    <x v="15"/>
    <x v="1"/>
    <s v="Internal"/>
    <x v="0"/>
    <s v="Engineering"/>
    <s v="Diego Alves"/>
    <d v="2026-08-15T00:00:00"/>
    <d v="2026-08-27T00:00:00"/>
    <x v="0"/>
    <m/>
    <x v="0"/>
    <n v="5"/>
    <x v="2"/>
  </r>
  <r>
    <x v="49"/>
    <s v="WOR-111"/>
    <s v="Workstation"/>
    <s v="Microsoft SQL Server"/>
    <s v="CVE-2026-2173"/>
    <x v="1"/>
    <n v="8.8000000000000007"/>
    <x v="44"/>
    <x v="1"/>
    <s v="Internet-facing"/>
    <x v="1"/>
    <s v="HR"/>
    <s v="Elisa Rocha"/>
    <d v="2026-08-23T00:00:00"/>
    <d v="2026-09-06T00:00:00"/>
    <x v="2"/>
    <d v="2026-09-19T00:00:00"/>
    <x v="1"/>
    <n v="6"/>
    <x v="1"/>
  </r>
  <r>
    <x v="50"/>
    <s v="WIN-113"/>
    <s v="Windows Server"/>
    <s v="OpenSSH"/>
    <s v="CVE-2025-7710"/>
    <x v="2"/>
    <n v="7.5"/>
    <x v="45"/>
    <x v="1"/>
    <s v="Internal"/>
    <x v="1"/>
    <s v="Finance"/>
    <s v="Ana Costa"/>
    <d v="2026-09-07T00:00:00"/>
    <d v="2026-09-21T00:00:00"/>
    <x v="3"/>
    <d v="2026-09-25T00:00:00"/>
    <x v="0"/>
    <n v="5"/>
    <x v="1"/>
  </r>
  <r>
    <x v="51"/>
    <s v="WEB-056"/>
    <s v="Web Server"/>
    <s v="Jenkins"/>
    <s v="CVE-2024-6387"/>
    <x v="0"/>
    <n v="8.1"/>
    <x v="46"/>
    <x v="1"/>
    <s v="Internal"/>
    <x v="0"/>
    <s v="Finance"/>
    <s v="Ana Costa"/>
    <d v="2026-08-28T00:00:00"/>
    <d v="2026-09-11T00:00:00"/>
    <x v="3"/>
    <d v="2026-10-01T00:00:00"/>
    <x v="0"/>
    <n v="6"/>
    <x v="1"/>
  </r>
  <r>
    <x v="52"/>
    <s v="WEB-025"/>
    <s v="Web Server"/>
    <s v="Microsoft Exchange"/>
    <s v="CVE-2025-7710"/>
    <x v="2"/>
    <n v="7.5"/>
    <x v="47"/>
    <x v="1"/>
    <s v="Internet-facing"/>
    <x v="0"/>
    <s v="Sales"/>
    <s v="Gabriela Souza"/>
    <d v="2026-08-28T00:00:00"/>
    <d v="2026-09-09T00:00:00"/>
    <x v="1"/>
    <m/>
    <x v="1"/>
    <n v="8"/>
    <x v="1"/>
  </r>
  <r>
    <x v="53"/>
    <s v="WIN-086"/>
    <s v="Windows Server"/>
    <s v="Windows Server"/>
    <s v="CVE-2024-6387"/>
    <x v="0"/>
    <n v="8.1"/>
    <x v="48"/>
    <x v="0"/>
    <s v="Internet-facing"/>
    <x v="0"/>
    <s v="Sales"/>
    <s v="Gabriela Souza"/>
    <d v="2026-08-08T00:00:00"/>
    <d v="2026-08-22T00:00:00"/>
    <x v="2"/>
    <d v="2026-08-29T00:00:00"/>
    <x v="1"/>
    <n v="10"/>
    <x v="1"/>
  </r>
  <r>
    <x v="54"/>
    <s v="DAT-042"/>
    <s v="Database"/>
    <s v="Jenkins"/>
    <s v="CVE-2024-3094"/>
    <x v="6"/>
    <n v="10"/>
    <x v="49"/>
    <x v="0"/>
    <s v="Internet-facing"/>
    <x v="1"/>
    <s v="IT"/>
    <s v="João Ribeiro"/>
    <d v="2026-08-09T00:00:00"/>
    <d v="2026-08-12T00:00:00"/>
    <x v="4"/>
    <m/>
    <x v="1"/>
    <n v="12"/>
    <x v="1"/>
  </r>
  <r>
    <x v="55"/>
    <s v="WEB-039"/>
    <s v="Web Server"/>
    <s v="Linux Kernel"/>
    <s v="CVE-2024-3094"/>
    <x v="6"/>
    <n v="10"/>
    <x v="50"/>
    <x v="1"/>
    <s v="Internal"/>
    <x v="2"/>
    <s v="Operations"/>
    <s v="Isabela Nunes"/>
    <d v="2026-08-20T00:00:00"/>
    <d v="2026-08-27T00:00:00"/>
    <x v="0"/>
    <m/>
    <x v="0"/>
    <n v="8"/>
    <x v="3"/>
  </r>
  <r>
    <x v="56"/>
    <s v="WEB-078"/>
    <s v="Web Server"/>
    <s v="FortiOS"/>
    <s v="CVE-2022-30190"/>
    <x v="0"/>
    <n v="7.8"/>
    <x v="51"/>
    <x v="1"/>
    <s v="Internet-facing"/>
    <x v="1"/>
    <s v="Legal"/>
    <s v="Marcos Teixeira"/>
    <d v="2026-08-30T00:00:00"/>
    <d v="2026-09-13T00:00:00"/>
    <x v="4"/>
    <m/>
    <x v="1"/>
    <n v="7"/>
    <x v="1"/>
  </r>
  <r>
    <x v="57"/>
    <s v="DAT-102"/>
    <s v="Database"/>
    <s v="OpenSSH"/>
    <s v="CVE-2021-44228"/>
    <x v="0"/>
    <n v="10"/>
    <x v="52"/>
    <x v="1"/>
    <s v="Internal"/>
    <x v="1"/>
    <s v="Operations"/>
    <s v="Henrique Dias"/>
    <d v="2026-08-19T00:00:00"/>
    <d v="2026-08-26T00:00:00"/>
    <x v="3"/>
    <d v="2026-09-11T00:00:00"/>
    <x v="0"/>
    <n v="7"/>
    <x v="1"/>
  </r>
  <r>
    <x v="58"/>
    <s v="LIN-087"/>
    <s v="Linux Server"/>
    <s v="PostgreSQL"/>
    <s v="CVE-2025-7710"/>
    <x v="2"/>
    <n v="7.5"/>
    <x v="53"/>
    <x v="1"/>
    <s v="Internal"/>
    <x v="0"/>
    <s v="Legal"/>
    <s v="Marcos Teixeira"/>
    <d v="2026-08-13T00:00:00"/>
    <d v="2026-08-26T00:00:00"/>
    <x v="0"/>
    <m/>
    <x v="0"/>
    <n v="7"/>
    <x v="3"/>
  </r>
  <r>
    <x v="59"/>
    <s v="WEB-109"/>
    <s v="Web Server"/>
    <s v="Confluence"/>
    <s v="CVE-2026-2173"/>
    <x v="1"/>
    <n v="8.8000000000000007"/>
    <x v="54"/>
    <x v="1"/>
    <s v="Internal"/>
    <x v="2"/>
    <s v="Sales"/>
    <s v="Gabriela Souza"/>
    <d v="2026-08-27T00:00:00"/>
    <d v="2026-09-10T00:00:00"/>
    <x v="3"/>
    <d v="2026-09-10T00:00:00"/>
    <x v="0"/>
    <n v="4"/>
    <x v="1"/>
  </r>
  <r>
    <x v="60"/>
    <s v="DAT-032"/>
    <s v="Database"/>
    <s v="VMware ESXi"/>
    <s v="CVE-2025-4912"/>
    <x v="5"/>
    <n v="9.1"/>
    <x v="55"/>
    <x v="1"/>
    <s v="Restricted"/>
    <x v="0"/>
    <s v="Sales"/>
    <s v="Felipe Martins"/>
    <d v="2026-08-01T00:00:00"/>
    <d v="2026-08-08T00:00:00"/>
    <x v="0"/>
    <m/>
    <x v="0"/>
    <n v="7"/>
    <x v="3"/>
  </r>
  <r>
    <x v="61"/>
    <s v="DAT-029"/>
    <s v="Database"/>
    <s v="Jenkins"/>
    <s v="CVE-2025-4912"/>
    <x v="5"/>
    <n v="9.1"/>
    <x v="56"/>
    <x v="1"/>
    <s v="Restricted"/>
    <x v="2"/>
    <s v="Legal"/>
    <s v="Marcos Teixeira"/>
    <d v="2026-09-03T00:00:00"/>
    <d v="2026-09-10T00:00:00"/>
    <x v="1"/>
    <m/>
    <x v="0"/>
    <n v="5"/>
    <x v="1"/>
  </r>
  <r>
    <x v="62"/>
    <s v="WIN-059"/>
    <s v="Windows Server"/>
    <s v="Confluence"/>
    <s v="CVE-2025-4912"/>
    <x v="5"/>
    <n v="9.1"/>
    <x v="42"/>
    <x v="1"/>
    <s v="Restricted"/>
    <x v="2"/>
    <s v="Legal"/>
    <s v="Marcos Teixeira"/>
    <d v="2026-09-03T00:00:00"/>
    <d v="2026-09-10T00:00:00"/>
    <x v="0"/>
    <m/>
    <x v="0"/>
    <n v="5"/>
    <x v="2"/>
  </r>
  <r>
    <x v="63"/>
    <s v="DAT-079"/>
    <s v="Database"/>
    <s v="Linux Kernel"/>
    <s v="CVE-2021-44228"/>
    <x v="0"/>
    <n v="10"/>
    <x v="57"/>
    <x v="0"/>
    <s v="Internal"/>
    <x v="0"/>
    <s v="Legal"/>
    <s v="Marcos Teixeira"/>
    <d v="2026-09-05T00:00:00"/>
    <d v="2026-09-12T00:00:00"/>
    <x v="4"/>
    <m/>
    <x v="0"/>
    <n v="13"/>
    <x v="1"/>
  </r>
  <r>
    <x v="64"/>
    <s v="DAT-058"/>
    <s v="Database"/>
    <s v="PostgreSQL"/>
    <s v="CVE-2025-7710"/>
    <x v="2"/>
    <n v="7.5"/>
    <x v="58"/>
    <x v="1"/>
    <s v="Internal"/>
    <x v="2"/>
    <s v="IT"/>
    <s v="Larissa Freitas"/>
    <d v="2026-09-10T00:00:00"/>
    <d v="2026-09-24T00:00:00"/>
    <x v="3"/>
    <d v="2026-10-15T00:00:00"/>
    <x v="0"/>
    <n v="4"/>
    <x v="1"/>
  </r>
  <r>
    <x v="65"/>
    <s v="LIN-036"/>
    <s v="Linux Server"/>
    <s v="Apache HTTP Server"/>
    <s v="CVE-2024-21413"/>
    <x v="0"/>
    <n v="9.8000000000000007"/>
    <x v="59"/>
    <x v="1"/>
    <s v="Restricted"/>
    <x v="1"/>
    <s v="IT"/>
    <s v="João Ribeiro"/>
    <d v="2026-08-16T00:00:00"/>
    <d v="2026-08-23T00:00:00"/>
    <x v="3"/>
    <d v="2026-09-07T00:00:00"/>
    <x v="0"/>
    <n v="8"/>
    <x v="1"/>
  </r>
  <r>
    <x v="66"/>
    <s v="LIN-030"/>
    <s v="Linux Server"/>
    <s v="Jenkins"/>
    <s v="CVE-2024-3094"/>
    <x v="6"/>
    <n v="10"/>
    <x v="60"/>
    <x v="0"/>
    <s v="Internet-facing"/>
    <x v="0"/>
    <s v="Engineering"/>
    <s v="Diego Alves"/>
    <d v="2026-08-14T00:00:00"/>
    <d v="2026-08-17T00:00:00"/>
    <x v="2"/>
    <d v="2026-09-06T00:00:00"/>
    <x v="1"/>
    <n v="15"/>
    <x v="1"/>
  </r>
  <r>
    <x v="67"/>
    <s v="WIN-027"/>
    <s v="Windows Server"/>
    <s v="GitLab"/>
    <s v="CVE-2024-3094"/>
    <x v="6"/>
    <n v="10"/>
    <x v="61"/>
    <x v="1"/>
    <s v="Internal"/>
    <x v="0"/>
    <s v="Sales"/>
    <s v="Gabriela Souza"/>
    <d v="2026-09-07T00:00:00"/>
    <d v="2026-09-14T00:00:00"/>
    <x v="2"/>
    <d v="2026-09-10T00:00:00"/>
    <x v="0"/>
    <n v="9"/>
    <x v="1"/>
  </r>
  <r>
    <x v="68"/>
    <s v="WIN-046"/>
    <s v="Windows Server"/>
    <s v="GitLab"/>
    <s v="CVE-2025-7710"/>
    <x v="2"/>
    <n v="7.5"/>
    <x v="61"/>
    <x v="1"/>
    <s v="Internal"/>
    <x v="1"/>
    <s v="Sales"/>
    <s v="Felipe Martins"/>
    <d v="2026-08-27T00:00:00"/>
    <d v="2026-09-10T00:00:00"/>
    <x v="0"/>
    <m/>
    <x v="0"/>
    <n v="5"/>
    <x v="2"/>
  </r>
  <r>
    <x v="69"/>
    <s v="LIN-035"/>
    <s v="Linux Server"/>
    <s v="Confluence"/>
    <s v="CVE-2024-3094"/>
    <x v="6"/>
    <n v="10"/>
    <x v="62"/>
    <x v="0"/>
    <s v="Internal"/>
    <x v="0"/>
    <s v="Sales"/>
    <s v="Gabriela Souza"/>
    <d v="2026-08-22T00:00:00"/>
    <d v="2026-08-29T00:00:00"/>
    <x v="0"/>
    <m/>
    <x v="0"/>
    <n v="12"/>
    <x v="0"/>
  </r>
  <r>
    <x v="70"/>
    <s v="LIN-108"/>
    <s v="Linux Server"/>
    <s v="OpenSSH"/>
    <s v="CVE-2024-21413"/>
    <x v="0"/>
    <n v="9.8000000000000007"/>
    <x v="63"/>
    <x v="1"/>
    <s v="Internal"/>
    <x v="0"/>
    <s v="IT"/>
    <s v="João Ribeiro"/>
    <d v="2026-09-04T00:00:00"/>
    <d v="2026-09-07T00:00:00"/>
    <x v="4"/>
    <m/>
    <x v="0"/>
    <n v="8"/>
    <x v="1"/>
  </r>
  <r>
    <x v="71"/>
    <s v="FIR-055"/>
    <s v="Firewall"/>
    <s v="Confluence"/>
    <s v="CVE-2025-4912"/>
    <x v="5"/>
    <n v="9.1"/>
    <x v="64"/>
    <x v="1"/>
    <s v="Internal"/>
    <x v="0"/>
    <s v="Finance"/>
    <s v="Bruno Lima"/>
    <d v="2026-08-12T00:00:00"/>
    <d v="2026-08-15T00:00:00"/>
    <x v="1"/>
    <m/>
    <x v="0"/>
    <n v="8"/>
    <x v="1"/>
  </r>
  <r>
    <x v="72"/>
    <s v="DAT-042"/>
    <s v="Database"/>
    <s v="GitLab"/>
    <s v="CVE-2024-6387"/>
    <x v="0"/>
    <n v="8.1"/>
    <x v="65"/>
    <x v="0"/>
    <s v="Restricted"/>
    <x v="1"/>
    <s v="Engineering"/>
    <s v="Carla Mendes"/>
    <d v="2026-08-27T00:00:00"/>
    <d v="2026-09-10T00:00:00"/>
    <x v="1"/>
    <m/>
    <x v="0"/>
    <n v="7"/>
    <x v="1"/>
  </r>
  <r>
    <x v="73"/>
    <s v="WIN-096"/>
    <s v="Windows Server"/>
    <s v="Microsoft Exchange"/>
    <s v="CVE-2023-34362"/>
    <x v="3"/>
    <n v="9.8000000000000007"/>
    <x v="3"/>
    <x v="1"/>
    <s v="Internal"/>
    <x v="0"/>
    <s v="Sales"/>
    <s v="Felipe Martins"/>
    <d v="2026-08-23T00:00:00"/>
    <d v="2026-08-30T00:00:00"/>
    <x v="1"/>
    <m/>
    <x v="0"/>
    <n v="8"/>
    <x v="1"/>
  </r>
  <r>
    <x v="74"/>
    <s v="FIR-006"/>
    <s v="Firewall"/>
    <s v="PostgreSQL"/>
    <s v="CVE-2026-1847"/>
    <x v="0"/>
    <n v="9.8000000000000007"/>
    <x v="66"/>
    <x v="1"/>
    <s v="Internal"/>
    <x v="2"/>
    <s v="Legal"/>
    <s v="Marcos Teixeira"/>
    <d v="2026-08-13T00:00:00"/>
    <d v="2026-08-20T00:00:00"/>
    <x v="0"/>
    <m/>
    <x v="0"/>
    <n v="5"/>
    <x v="2"/>
  </r>
  <r>
    <x v="75"/>
    <s v="LIN-061"/>
    <s v="Linux Server"/>
    <s v="Apache HTTP Server"/>
    <s v="CVE-2022-30190"/>
    <x v="0"/>
    <n v="7.8"/>
    <x v="67"/>
    <x v="1"/>
    <s v="Internal"/>
    <x v="2"/>
    <s v="Engineering"/>
    <s v="Diego Alves"/>
    <d v="2026-09-06T00:00:00"/>
    <d v="2026-09-20T00:00:00"/>
    <x v="0"/>
    <m/>
    <x v="0"/>
    <n v="5"/>
    <x v="2"/>
  </r>
  <r>
    <x v="76"/>
    <s v="WOR-099"/>
    <s v="Workstation"/>
    <s v="OpenSSH"/>
    <s v="CVE-2024-6387"/>
    <x v="0"/>
    <n v="8.1"/>
    <x v="68"/>
    <x v="0"/>
    <s v="Internal"/>
    <x v="2"/>
    <s v="IT"/>
    <s v="Larissa Freitas"/>
    <d v="2026-08-08T00:00:00"/>
    <d v="2026-08-22T00:00:00"/>
    <x v="3"/>
    <d v="2026-08-20T00:00:00"/>
    <x v="0"/>
    <n v="7"/>
    <x v="1"/>
  </r>
  <r>
    <x v="77"/>
    <s v="WEB-004"/>
    <s v="Web Server"/>
    <s v="Windows Server"/>
    <s v="CVE-2025-7710"/>
    <x v="2"/>
    <n v="7.5"/>
    <x v="69"/>
    <x v="1"/>
    <s v="Restricted"/>
    <x v="0"/>
    <s v="Finance"/>
    <s v="Ana Costa"/>
    <d v="2026-08-25T00:00:00"/>
    <d v="2026-09-08T00:00:00"/>
    <x v="0"/>
    <m/>
    <x v="0"/>
    <n v="5"/>
    <x v="2"/>
  </r>
  <r>
    <x v="78"/>
    <s v="WEB-089"/>
    <s v="Web Server"/>
    <s v="PostgreSQL"/>
    <s v="CVE-2022-30190"/>
    <x v="0"/>
    <n v="7.8"/>
    <x v="70"/>
    <x v="1"/>
    <s v="Internal"/>
    <x v="0"/>
    <s v="Finance"/>
    <s v="Bruno Lima"/>
    <d v="2026-08-07T00:00:00"/>
    <d v="2026-08-21T00:00:00"/>
    <x v="0"/>
    <m/>
    <x v="0"/>
    <n v="5"/>
    <x v="2"/>
  </r>
  <r>
    <x v="79"/>
    <s v="FIR-077"/>
    <s v="Firewall"/>
    <s v="Windows Server"/>
    <s v="CVE-2026-2173"/>
    <x v="1"/>
    <n v="9"/>
    <x v="71"/>
    <x v="1"/>
    <s v="Internet-facing"/>
    <x v="0"/>
    <s v="Legal"/>
    <s v="Marcos Teixeira"/>
    <d v="2026-08-03T00:00:00"/>
    <d v="2026-08-10T00:00:00"/>
    <x v="0"/>
    <m/>
    <x v="1"/>
    <n v="8"/>
    <x v="3"/>
  </r>
  <r>
    <x v="80"/>
    <s v="WOR-009"/>
    <s v="Workstation"/>
    <s v="VMware ESXi"/>
    <s v="CVE-2023-34362"/>
    <x v="3"/>
    <n v="9.8000000000000007"/>
    <x v="72"/>
    <x v="1"/>
    <s v="Internal"/>
    <x v="0"/>
    <s v="IT"/>
    <s v="João Ribeiro"/>
    <d v="2026-08-22T00:00:00"/>
    <d v="2026-08-25T00:00:00"/>
    <x v="2"/>
    <d v="2026-09-24T00:00:00"/>
    <x v="0"/>
    <n v="8"/>
    <x v="1"/>
  </r>
  <r>
    <x v="81"/>
    <s v="WOR-082"/>
    <s v="Workstation"/>
    <s v="Jenkins"/>
    <s v="CVE-2024-21413"/>
    <x v="0"/>
    <n v="9.8000000000000007"/>
    <x v="73"/>
    <x v="0"/>
    <s v="Internal"/>
    <x v="0"/>
    <s v="Sales"/>
    <s v="Gabriela Souza"/>
    <d v="2026-08-12T00:00:00"/>
    <d v="2026-08-19T00:00:00"/>
    <x v="0"/>
    <m/>
    <x v="0"/>
    <n v="11"/>
    <x v="0"/>
  </r>
  <r>
    <x v="82"/>
    <s v="WEB-100"/>
    <s v="Web Server"/>
    <s v="Confluence"/>
    <s v="CVE-2024-21413"/>
    <x v="0"/>
    <n v="9.8000000000000007"/>
    <x v="74"/>
    <x v="0"/>
    <s v="Internal"/>
    <x v="0"/>
    <s v="Operations"/>
    <s v="Henrique Dias"/>
    <d v="2026-09-07T00:00:00"/>
    <d v="2026-09-14T00:00:00"/>
    <x v="0"/>
    <m/>
    <x v="0"/>
    <n v="12"/>
    <x v="0"/>
  </r>
  <r>
    <x v="83"/>
    <s v="WIN-036"/>
    <s v="Windows Server"/>
    <s v="PostgreSQL"/>
    <s v="CVE-2024-21413"/>
    <x v="0"/>
    <n v="9.8000000000000007"/>
    <x v="75"/>
    <x v="1"/>
    <s v="Internal"/>
    <x v="0"/>
    <s v="Legal"/>
    <s v="Marcos Teixeira"/>
    <d v="2026-09-06T00:00:00"/>
    <d v="2026-09-13T00:00:00"/>
    <x v="2"/>
    <d v="2026-10-02T00:00:00"/>
    <x v="0"/>
    <n v="6"/>
    <x v="1"/>
  </r>
  <r>
    <x v="84"/>
    <s v="DAT-109"/>
    <s v="Database"/>
    <s v="OpenSSH"/>
    <s v="CVE-2024-6387"/>
    <x v="0"/>
    <n v="8.3000000000000007"/>
    <x v="76"/>
    <x v="0"/>
    <s v="Internet-facing"/>
    <x v="0"/>
    <s v="Finance"/>
    <s v="Bruno Lima"/>
    <d v="2026-08-23T00:00:00"/>
    <d v="2026-09-06T00:00:00"/>
    <x v="0"/>
    <m/>
    <x v="1"/>
    <n v="11"/>
    <x v="0"/>
  </r>
  <r>
    <x v="85"/>
    <s v="WEB-090"/>
    <s v="Web Server"/>
    <s v="Linux Kernel"/>
    <s v="CVE-2025-7710"/>
    <x v="2"/>
    <n v="7.5"/>
    <x v="77"/>
    <x v="1"/>
    <s v="Restricted"/>
    <x v="0"/>
    <s v="HR"/>
    <s v="Elisa Rocha"/>
    <d v="2026-08-01T00:00:00"/>
    <d v="2026-08-15T00:00:00"/>
    <x v="3"/>
    <d v="2026-08-15T00:00:00"/>
    <x v="0"/>
    <n v="6"/>
    <x v="1"/>
  </r>
  <r>
    <x v="86"/>
    <s v="FIR-053"/>
    <s v="Firewall"/>
    <s v="Linux Kernel"/>
    <s v="CVE-2024-21413"/>
    <x v="0"/>
    <n v="9.8000000000000007"/>
    <x v="78"/>
    <x v="1"/>
    <s v="Internet-facing"/>
    <x v="0"/>
    <s v="Engineering"/>
    <s v="Diego Alves"/>
    <d v="2026-08-31T00:00:00"/>
    <d v="2026-09-07T00:00:00"/>
    <x v="0"/>
    <m/>
    <x v="1"/>
    <n v="8"/>
    <x v="3"/>
  </r>
  <r>
    <x v="87"/>
    <s v="WIN-012"/>
    <s v="Windows Server"/>
    <s v="PostgreSQL"/>
    <s v="CVE-2025-7710"/>
    <x v="2"/>
    <n v="7.7"/>
    <x v="79"/>
    <x v="1"/>
    <s v="Internet-facing"/>
    <x v="1"/>
    <s v="Sales"/>
    <s v="Gabriela Souza"/>
    <d v="2026-08-26T00:00:00"/>
    <d v="2026-09-09T00:00:00"/>
    <x v="0"/>
    <m/>
    <x v="1"/>
    <n v="6"/>
    <x v="2"/>
  </r>
  <r>
    <x v="88"/>
    <s v="WEB-048"/>
    <s v="Web Server"/>
    <s v="Linux Kernel"/>
    <s v="CVE-2024-21413"/>
    <x v="0"/>
    <n v="9.8000000000000007"/>
    <x v="30"/>
    <x v="0"/>
    <s v="Internal"/>
    <x v="1"/>
    <s v="IT"/>
    <s v="Larissa Freitas"/>
    <d v="2026-08-28T00:00:00"/>
    <d v="2026-09-04T00:00:00"/>
    <x v="0"/>
    <m/>
    <x v="0"/>
    <n v="10"/>
    <x v="0"/>
  </r>
  <r>
    <x v="89"/>
    <s v="FIR-059"/>
    <s v="Firewall"/>
    <s v="Microsoft SQL Server"/>
    <s v="CVE-2025-7710"/>
    <x v="2"/>
    <n v="7.5"/>
    <x v="80"/>
    <x v="1"/>
    <s v="Internet-facing"/>
    <x v="1"/>
    <s v="HR"/>
    <s v="Elisa Rocha"/>
    <d v="2026-08-17T00:00:00"/>
    <d v="2026-08-31T00:00:00"/>
    <x v="0"/>
    <m/>
    <x v="1"/>
    <n v="7"/>
    <x v="3"/>
  </r>
  <r>
    <x v="90"/>
    <s v="WIN-096"/>
    <s v="Windows Server"/>
    <s v="Jenkins"/>
    <s v="CVE-2023-34362"/>
    <x v="3"/>
    <n v="9.8000000000000007"/>
    <x v="81"/>
    <x v="1"/>
    <s v="Internal"/>
    <x v="2"/>
    <s v="HR"/>
    <s v="Elisa Rocha"/>
    <d v="2026-08-12T00:00:00"/>
    <d v="2026-08-15T00:00:00"/>
    <x v="0"/>
    <m/>
    <x v="0"/>
    <n v="6"/>
    <x v="2"/>
  </r>
  <r>
    <x v="91"/>
    <s v="WEB-098"/>
    <s v="Web Server"/>
    <s v="Windows Server"/>
    <s v="CVE-2023-34362"/>
    <x v="3"/>
    <n v="10"/>
    <x v="82"/>
    <x v="1"/>
    <s v="Internet-facing"/>
    <x v="0"/>
    <s v="IT"/>
    <s v="João Ribeiro"/>
    <d v="2026-08-19T00:00:00"/>
    <d v="2026-08-26T00:00:00"/>
    <x v="0"/>
    <m/>
    <x v="1"/>
    <n v="11"/>
    <x v="0"/>
  </r>
  <r>
    <x v="92"/>
    <s v="LIN-047"/>
    <s v="Linux Server"/>
    <s v="Microsoft SQL Server"/>
    <s v="CVE-2025-4912"/>
    <x v="5"/>
    <n v="9.1"/>
    <x v="83"/>
    <x v="1"/>
    <s v="Internal"/>
    <x v="0"/>
    <s v="HR"/>
    <s v="Elisa Rocha"/>
    <d v="2026-08-01T00:00:00"/>
    <d v="2026-08-08T00:00:00"/>
    <x v="2"/>
    <d v="2026-08-11T00:00:00"/>
    <x v="0"/>
    <n v="7"/>
    <x v="1"/>
  </r>
  <r>
    <x v="93"/>
    <s v="WIN-071"/>
    <s v="Windows Server"/>
    <s v="Jenkins"/>
    <s v="CVE-2025-7710"/>
    <x v="2"/>
    <n v="7.5"/>
    <x v="84"/>
    <x v="1"/>
    <s v="Restricted"/>
    <x v="0"/>
    <s v="Finance"/>
    <s v="Ana Costa"/>
    <d v="2026-08-09T00:00:00"/>
    <d v="2026-08-23T00:00:00"/>
    <x v="2"/>
    <d v="2026-09-11T00:00:00"/>
    <x v="0"/>
    <n v="6"/>
    <x v="1"/>
  </r>
  <r>
    <x v="94"/>
    <s v="WIN-074"/>
    <s v="Windows Server"/>
    <s v="Confluence"/>
    <s v="CVE-2025-7710"/>
    <x v="2"/>
    <n v="7.5"/>
    <x v="85"/>
    <x v="1"/>
    <s v="Internal"/>
    <x v="1"/>
    <s v="Legal"/>
    <s v="Marcos Teixeira"/>
    <d v="2026-08-31T00:00:00"/>
    <d v="2026-09-14T00:00:00"/>
    <x v="1"/>
    <m/>
    <x v="0"/>
    <n v="5"/>
    <x v="1"/>
  </r>
  <r>
    <x v="95"/>
    <s v="WOR-111"/>
    <s v="Workstation"/>
    <s v="Apache HTTP Server"/>
    <s v="CVE-2024-21413"/>
    <x v="0"/>
    <n v="9.8000000000000007"/>
    <x v="86"/>
    <x v="1"/>
    <s v="Internal"/>
    <x v="1"/>
    <s v="Finance"/>
    <s v="Ana Costa"/>
    <d v="2026-08-26T00:00:00"/>
    <d v="2026-09-02T00:00:00"/>
    <x v="3"/>
    <d v="2026-08-31T00:00:00"/>
    <x v="0"/>
    <n v="7"/>
    <x v="1"/>
  </r>
  <r>
    <x v="96"/>
    <s v="WEB-039"/>
    <s v="Web Server"/>
    <s v="PostgreSQL"/>
    <s v="CVE-2026-2173"/>
    <x v="1"/>
    <n v="8.8000000000000007"/>
    <x v="87"/>
    <x v="1"/>
    <s v="Internal"/>
    <x v="2"/>
    <s v="Engineering"/>
    <s v="Diego Alves"/>
    <d v="2026-08-08T00:00:00"/>
    <d v="2026-08-22T00:00:00"/>
    <x v="1"/>
    <m/>
    <x v="0"/>
    <n v="5"/>
    <x v="1"/>
  </r>
  <r>
    <x v="97"/>
    <s v="WEB-102"/>
    <s v="Web Server"/>
    <s v="PostgreSQL"/>
    <s v="CVE-2023-23397"/>
    <x v="1"/>
    <n v="10"/>
    <x v="88"/>
    <x v="1"/>
    <s v="Internet-facing"/>
    <x v="0"/>
    <s v="Operations"/>
    <s v="Isabela Nunes"/>
    <d v="2026-08-25T00:00:00"/>
    <d v="2026-09-01T00:00:00"/>
    <x v="1"/>
    <m/>
    <x v="1"/>
    <n v="9"/>
    <x v="1"/>
  </r>
  <r>
    <x v="98"/>
    <s v="WEB-055"/>
    <s v="Web Server"/>
    <s v="Windows Server"/>
    <s v="CVE-2025-7710"/>
    <x v="2"/>
    <n v="7.5"/>
    <x v="71"/>
    <x v="1"/>
    <s v="Restricted"/>
    <x v="0"/>
    <s v="HR"/>
    <s v="Elisa Rocha"/>
    <d v="2026-09-09T00:00:00"/>
    <d v="2026-09-22T00:00:00"/>
    <x v="2"/>
    <d v="2026-09-24T00:00:00"/>
    <x v="0"/>
    <n v="5"/>
    <x v="1"/>
  </r>
  <r>
    <x v="99"/>
    <s v="FIR-011"/>
    <s v="Firewall"/>
    <s v="PostgreSQL"/>
    <s v="CVE-2025-4912"/>
    <x v="5"/>
    <n v="9.1"/>
    <x v="89"/>
    <x v="1"/>
    <s v="Internal"/>
    <x v="0"/>
    <s v="HR"/>
    <s v="Elisa Rocha"/>
    <d v="2026-08-12T00:00:00"/>
    <d v="2026-08-19T00:00:00"/>
    <x v="0"/>
    <m/>
    <x v="0"/>
    <n v="7"/>
    <x v="3"/>
  </r>
  <r>
    <x v="100"/>
    <s v="DAT-058"/>
    <s v="Database"/>
    <s v="Windows Server"/>
    <s v="CVE-2021-44228"/>
    <x v="0"/>
    <n v="10"/>
    <x v="90"/>
    <x v="0"/>
    <s v="Internet-facing"/>
    <x v="1"/>
    <s v="Finance"/>
    <s v="Bruno Lima"/>
    <d v="2026-08-03T00:00:00"/>
    <d v="2026-08-10T00:00:00"/>
    <x v="2"/>
    <d v="2026-08-23T00:00:00"/>
    <x v="1"/>
    <n v="14"/>
    <x v="1"/>
  </r>
  <r>
    <x v="101"/>
    <s v="FIR-030"/>
    <s v="Firewall"/>
    <s v="VMware ESXi"/>
    <s v="CVE-2025-7710"/>
    <x v="2"/>
    <n v="7.5"/>
    <x v="91"/>
    <x v="1"/>
    <s v="Internal"/>
    <x v="0"/>
    <s v="Finance"/>
    <s v="Ana Costa"/>
    <d v="2026-09-07T00:00:00"/>
    <d v="2026-09-21T00:00:00"/>
    <x v="4"/>
    <m/>
    <x v="0"/>
    <n v="6"/>
    <x v="1"/>
  </r>
  <r>
    <x v="102"/>
    <s v="WIN-070"/>
    <s v="Windows Server"/>
    <s v="VMware ESXi"/>
    <s v="CVE-2025-3021"/>
    <x v="4"/>
    <n v="8.8000000000000007"/>
    <x v="92"/>
    <x v="1"/>
    <s v="Internet-facing"/>
    <x v="0"/>
    <s v="Sales"/>
    <s v="Felipe Martins"/>
    <d v="2026-08-10T00:00:00"/>
    <d v="2026-08-24T00:00:00"/>
    <x v="1"/>
    <m/>
    <x v="1"/>
    <n v="8"/>
    <x v="1"/>
  </r>
  <r>
    <x v="103"/>
    <s v="WIN-022"/>
    <s v="Windows Server"/>
    <s v="Windows Server"/>
    <s v="CVE-2025-7710"/>
    <x v="2"/>
    <n v="7.9"/>
    <x v="93"/>
    <x v="1"/>
    <s v="Internet-facing"/>
    <x v="2"/>
    <s v="Finance"/>
    <s v="Bruno Lima"/>
    <d v="2026-09-06T00:00:00"/>
    <d v="2026-09-20T00:00:00"/>
    <x v="0"/>
    <m/>
    <x v="1"/>
    <n v="5"/>
    <x v="2"/>
  </r>
  <r>
    <x v="104"/>
    <s v="DAT-089"/>
    <s v="Database"/>
    <s v="Jenkins"/>
    <s v="CVE-2025-7710"/>
    <x v="2"/>
    <n v="7.5"/>
    <x v="5"/>
    <x v="1"/>
    <s v="Internal"/>
    <x v="2"/>
    <s v="Finance"/>
    <s v="Bruno Lima"/>
    <d v="2026-08-26T00:00:00"/>
    <d v="2026-09-09T00:00:00"/>
    <x v="3"/>
    <d v="2026-09-29T00:00:00"/>
    <x v="0"/>
    <n v="3"/>
    <x v="1"/>
  </r>
  <r>
    <x v="105"/>
    <s v="WIN-077"/>
    <s v="Windows Server"/>
    <s v="GitLab"/>
    <s v="CVE-2026-1847"/>
    <x v="0"/>
    <n v="9.8000000000000007"/>
    <x v="94"/>
    <x v="1"/>
    <s v="Internet-facing"/>
    <x v="1"/>
    <s v="Sales"/>
    <s v="Felipe Martins"/>
    <d v="2026-08-21T00:00:00"/>
    <d v="2026-08-28T00:00:00"/>
    <x v="0"/>
    <m/>
    <x v="1"/>
    <n v="8"/>
    <x v="3"/>
  </r>
  <r>
    <x v="106"/>
    <s v="LIN-087"/>
    <s v="Linux Server"/>
    <s v="Windows Server"/>
    <s v="CVE-2023-23397"/>
    <x v="1"/>
    <n v="9.8000000000000007"/>
    <x v="95"/>
    <x v="1"/>
    <s v="Internal"/>
    <x v="0"/>
    <s v="Finance"/>
    <s v="Ana Costa"/>
    <d v="2026-08-18T00:00:00"/>
    <d v="2026-08-25T00:00:00"/>
    <x v="0"/>
    <m/>
    <x v="0"/>
    <n v="9"/>
    <x v="3"/>
  </r>
  <r>
    <x v="107"/>
    <s v="WEB-084"/>
    <s v="Web Server"/>
    <s v="Microsoft SQL Server"/>
    <s v="CVE-2024-21413"/>
    <x v="0"/>
    <n v="9.8000000000000007"/>
    <x v="96"/>
    <x v="0"/>
    <s v="Internal"/>
    <x v="2"/>
    <s v="Sales"/>
    <s v="Gabriela Souza"/>
    <d v="2026-09-07T00:00:00"/>
    <d v="2026-09-14T00:00:00"/>
    <x v="1"/>
    <m/>
    <x v="0"/>
    <n v="9"/>
    <x v="1"/>
  </r>
  <r>
    <x v="108"/>
    <s v="DAT-045"/>
    <s v="Database"/>
    <s v="FortiOS"/>
    <s v="CVE-2024-3094"/>
    <x v="6"/>
    <n v="10"/>
    <x v="97"/>
    <x v="0"/>
    <s v="Restricted"/>
    <x v="0"/>
    <s v="Finance"/>
    <s v="Bruno Lima"/>
    <d v="2026-08-07T00:00:00"/>
    <d v="2026-08-14T00:00:00"/>
    <x v="2"/>
    <d v="2026-08-30T00:00:00"/>
    <x v="0"/>
    <n v="13"/>
    <x v="1"/>
  </r>
  <r>
    <x v="109"/>
    <s v="DAT-037"/>
    <s v="Database"/>
    <s v="GitLab"/>
    <s v="CVE-2022-30190"/>
    <x v="0"/>
    <n v="7.8"/>
    <x v="98"/>
    <x v="1"/>
    <s v="Restricted"/>
    <x v="0"/>
    <s v="IT"/>
    <s v="Larissa Freitas"/>
    <d v="2026-09-05T00:00:00"/>
    <d v="2026-09-18T00:00:00"/>
    <x v="2"/>
    <d v="2026-09-27T00:00:00"/>
    <x v="0"/>
    <n v="5"/>
    <x v="1"/>
  </r>
  <r>
    <x v="110"/>
    <s v="WIN-099"/>
    <s v="Windows Server"/>
    <s v="Linux Kernel"/>
    <s v="CVE-2024-3094"/>
    <x v="6"/>
    <n v="10"/>
    <x v="93"/>
    <x v="1"/>
    <s v="Restricted"/>
    <x v="0"/>
    <s v="HR"/>
    <s v="Elisa Rocha"/>
    <d v="2026-08-01T00:00:00"/>
    <d v="2026-08-08T00:00:00"/>
    <x v="2"/>
    <d v="2026-09-01T00:00:00"/>
    <x v="0"/>
    <n v="8"/>
    <x v="1"/>
  </r>
  <r>
    <x v="111"/>
    <s v="LIN-067"/>
    <s v="Linux Server"/>
    <s v="Windows Server"/>
    <s v="CVE-2024-6387"/>
    <x v="0"/>
    <n v="8.1"/>
    <x v="75"/>
    <x v="1"/>
    <s v="Internal"/>
    <x v="0"/>
    <s v="Finance"/>
    <s v="Ana Costa"/>
    <d v="2026-09-10T00:00:00"/>
    <d v="2026-09-24T00:00:00"/>
    <x v="0"/>
    <m/>
    <x v="0"/>
    <n v="4"/>
    <x v="2"/>
  </r>
  <r>
    <x v="112"/>
    <s v="WOR-071"/>
    <s v="Workstation"/>
    <s v="Microsoft SQL Server"/>
    <s v="CVE-2025-4912"/>
    <x v="5"/>
    <n v="9.1"/>
    <x v="4"/>
    <x v="1"/>
    <s v="Restricted"/>
    <x v="1"/>
    <s v="Engineering"/>
    <s v="Diego Alves"/>
    <d v="2026-08-29T00:00:00"/>
    <d v="2026-09-05T00:00:00"/>
    <x v="0"/>
    <m/>
    <x v="0"/>
    <n v="4"/>
    <x v="2"/>
  </r>
  <r>
    <x v="113"/>
    <s v="WIN-081"/>
    <s v="Windows Server"/>
    <s v="PostgreSQL"/>
    <s v="CVE-2023-23397"/>
    <x v="1"/>
    <n v="9.8000000000000007"/>
    <x v="99"/>
    <x v="1"/>
    <s v="Internal"/>
    <x v="0"/>
    <s v="Finance"/>
    <s v="Bruno Lima"/>
    <d v="2026-08-20T00:00:00"/>
    <d v="2026-08-27T00:00:00"/>
    <x v="0"/>
    <m/>
    <x v="0"/>
    <n v="6"/>
    <x v="2"/>
  </r>
  <r>
    <x v="114"/>
    <s v="LIN-108"/>
    <s v="Linux Server"/>
    <s v="Confluence"/>
    <s v="CVE-2026-2173"/>
    <x v="1"/>
    <n v="8.8000000000000007"/>
    <x v="100"/>
    <x v="1"/>
    <s v="Internet-facing"/>
    <x v="1"/>
    <s v="Finance"/>
    <s v="Ana Costa"/>
    <d v="2026-08-08T00:00:00"/>
    <d v="2026-08-22T00:00:00"/>
    <x v="1"/>
    <m/>
    <x v="1"/>
    <n v="6"/>
    <x v="1"/>
  </r>
  <r>
    <x v="115"/>
    <s v="FIR-038"/>
    <s v="Firewall"/>
    <s v="Jenkins"/>
    <s v="CVE-2023-34362"/>
    <x v="3"/>
    <n v="9.8000000000000007"/>
    <x v="101"/>
    <x v="1"/>
    <s v="Restricted"/>
    <x v="1"/>
    <s v="Sales"/>
    <s v="Gabriela Souza"/>
    <d v="2026-08-18T00:00:00"/>
    <d v="2026-08-25T00:00:00"/>
    <x v="0"/>
    <m/>
    <x v="0"/>
    <n v="7"/>
    <x v="3"/>
  </r>
  <r>
    <x v="116"/>
    <s v="LIN-059"/>
    <s v="Linux Server"/>
    <s v="OpenSSH"/>
    <s v="CVE-2023-34362"/>
    <x v="3"/>
    <n v="9.8000000000000007"/>
    <x v="102"/>
    <x v="1"/>
    <s v="Internal"/>
    <x v="2"/>
    <s v="Sales"/>
    <s v="Felipe Martins"/>
    <d v="2026-08-25T00:00:00"/>
    <d v="2026-08-30T00:00:00"/>
    <x v="1"/>
    <m/>
    <x v="0"/>
    <n v="4"/>
    <x v="1"/>
  </r>
  <r>
    <x v="117"/>
    <s v="DAT-044"/>
    <s v="Database"/>
    <s v="Microsoft SQL Server"/>
    <s v="CVE-2023-34362"/>
    <x v="3"/>
    <n v="9.8000000000000007"/>
    <x v="103"/>
    <x v="1"/>
    <s v="Internal"/>
    <x v="0"/>
    <s v="HR"/>
    <s v="Elisa Rocha"/>
    <d v="2026-08-01T00:00:00"/>
    <d v="2026-08-08T00:00:00"/>
    <x v="3"/>
    <d v="2026-08-22T00:00:00"/>
    <x v="0"/>
    <n v="8"/>
    <x v="1"/>
  </r>
  <r>
    <x v="118"/>
    <s v="LIN-058"/>
    <s v="Linux Server"/>
    <s v="Confluence"/>
    <s v="CVE-2023-34362"/>
    <x v="3"/>
    <n v="9.8000000000000007"/>
    <x v="24"/>
    <x v="1"/>
    <s v="Restricted"/>
    <x v="0"/>
    <s v="Legal"/>
    <s v="Marcos Teixeira"/>
    <d v="2026-08-23T00:00:00"/>
    <d v="2026-08-30T00:00:00"/>
    <x v="0"/>
    <m/>
    <x v="0"/>
    <n v="7"/>
    <x v="3"/>
  </r>
  <r>
    <x v="119"/>
    <s v="WOR-112"/>
    <s v="Workstation"/>
    <s v="Jenkins"/>
    <s v="CVE-2025-3021"/>
    <x v="4"/>
    <n v="8.6"/>
    <x v="104"/>
    <x v="1"/>
    <s v="Internal"/>
    <x v="0"/>
    <s v="Sales"/>
    <s v="Felipe Martins"/>
    <d v="2026-08-16T00:00:00"/>
    <d v="2026-08-30T00:00:00"/>
    <x v="0"/>
    <m/>
    <x v="0"/>
    <n v="5"/>
    <x v="2"/>
  </r>
  <r>
    <x v="120"/>
    <s v="DAT-006"/>
    <s v="Database"/>
    <s v="Jenkins"/>
    <s v="CVE-2024-6387"/>
    <x v="0"/>
    <n v="8.1"/>
    <x v="105"/>
    <x v="0"/>
    <s v="Internal"/>
    <x v="2"/>
    <s v="Legal"/>
    <s v="Marcos Teixeira"/>
    <d v="2026-08-25T00:00:00"/>
    <d v="2026-09-08T00:00:00"/>
    <x v="3"/>
    <d v="2026-09-05T00:00:00"/>
    <x v="0"/>
    <n v="7"/>
    <x v="1"/>
  </r>
  <r>
    <x v="121"/>
    <s v="LIN-065"/>
    <s v="Linux Server"/>
    <s v="FortiOS"/>
    <s v="CVE-2023-23397"/>
    <x v="1"/>
    <n v="9.8000000000000007"/>
    <x v="106"/>
    <x v="1"/>
    <s v="Internal"/>
    <x v="0"/>
    <s v="Finance"/>
    <s v="Ana Costa"/>
    <d v="2026-08-29T00:00:00"/>
    <d v="2026-09-01T00:00:00"/>
    <x v="2"/>
    <d v="2026-08-31T00:00:00"/>
    <x v="0"/>
    <n v="8"/>
    <x v="1"/>
  </r>
  <r>
    <x v="122"/>
    <s v="FIR-020"/>
    <s v="Firewall"/>
    <s v="Confluence"/>
    <s v="CVE-2026-2173"/>
    <x v="1"/>
    <n v="9"/>
    <x v="107"/>
    <x v="1"/>
    <s v="Internet-facing"/>
    <x v="0"/>
    <s v="Sales"/>
    <s v="Felipe Martins"/>
    <d v="2026-08-17T00:00:00"/>
    <d v="2026-08-24T00:00:00"/>
    <x v="2"/>
    <d v="2026-09-13T00:00:00"/>
    <x v="1"/>
    <n v="8"/>
    <x v="1"/>
  </r>
  <r>
    <x v="123"/>
    <s v="WOR-110"/>
    <s v="Workstation"/>
    <s v="Linux Kernel"/>
    <s v="CVE-2022-30190"/>
    <x v="0"/>
    <n v="7.8"/>
    <x v="108"/>
    <x v="1"/>
    <s v="Restricted"/>
    <x v="0"/>
    <s v="Legal"/>
    <s v="Marcos Teixeira"/>
    <d v="2026-08-25T00:00:00"/>
    <d v="2026-09-08T00:00:00"/>
    <x v="0"/>
    <m/>
    <x v="0"/>
    <n v="6"/>
    <x v="2"/>
  </r>
  <r>
    <x v="124"/>
    <s v="WEB-005"/>
    <s v="Web Server"/>
    <s v="Apache HTTP Server"/>
    <s v="CVE-2023-23397"/>
    <x v="1"/>
    <n v="10"/>
    <x v="109"/>
    <x v="0"/>
    <s v="Internet-facing"/>
    <x v="2"/>
    <s v="Legal"/>
    <s v="Marcos Teixeira"/>
    <d v="2026-08-19T00:00:00"/>
    <d v="2026-08-26T00:00:00"/>
    <x v="3"/>
    <d v="2026-08-26T00:00:00"/>
    <x v="1"/>
    <n v="12"/>
    <x v="1"/>
  </r>
  <r>
    <x v="125"/>
    <s v="FIR-091"/>
    <s v="Firewall"/>
    <s v="Confluence"/>
    <s v="CVE-2026-2173"/>
    <x v="1"/>
    <n v="8.8000000000000007"/>
    <x v="106"/>
    <x v="1"/>
    <s v="Restricted"/>
    <x v="0"/>
    <s v="Finance"/>
    <s v="Ana Costa"/>
    <d v="2026-08-11T00:00:00"/>
    <d v="2026-08-25T00:00:00"/>
    <x v="0"/>
    <m/>
    <x v="0"/>
    <n v="6"/>
    <x v="2"/>
  </r>
  <r>
    <x v="126"/>
    <s v="WOR-102"/>
    <s v="Workstation"/>
    <s v="Microsoft SQL Server"/>
    <s v="CVE-2026-1847"/>
    <x v="0"/>
    <n v="9.8000000000000007"/>
    <x v="110"/>
    <x v="1"/>
    <s v="Internal"/>
    <x v="1"/>
    <s v="Finance"/>
    <s v="Ana Costa"/>
    <d v="2026-08-23T00:00:00"/>
    <d v="2026-08-30T00:00:00"/>
    <x v="0"/>
    <m/>
    <x v="0"/>
    <n v="6"/>
    <x v="2"/>
  </r>
  <r>
    <x v="127"/>
    <s v="WEB-053"/>
    <s v="Web Server"/>
    <s v="VMware ESXi"/>
    <s v="CVE-2023-23397"/>
    <x v="1"/>
    <n v="9.8000000000000007"/>
    <x v="111"/>
    <x v="1"/>
    <s v="Internal"/>
    <x v="2"/>
    <s v="Engineering"/>
    <s v="Carla Mendes"/>
    <d v="2026-08-11T00:00:00"/>
    <d v="2026-08-14T00:00:00"/>
    <x v="4"/>
    <m/>
    <x v="0"/>
    <n v="5"/>
    <x v="1"/>
  </r>
  <r>
    <x v="128"/>
    <s v="WEB-019"/>
    <s v="Web Server"/>
    <s v="Confluence"/>
    <s v="CVE-2025-3021"/>
    <x v="4"/>
    <n v="8.6"/>
    <x v="112"/>
    <x v="1"/>
    <s v="Internet-facing"/>
    <x v="0"/>
    <s v="Sales"/>
    <s v="Felipe Martins"/>
    <d v="2026-09-10T00:00:00"/>
    <d v="2026-09-24T00:00:00"/>
    <x v="2"/>
    <d v="2026-09-28T00:00:00"/>
    <x v="1"/>
    <n v="7"/>
    <x v="1"/>
  </r>
  <r>
    <x v="129"/>
    <s v="DAT-116"/>
    <s v="Database"/>
    <s v="VMware ESXi"/>
    <s v="CVE-2025-7710"/>
    <x v="2"/>
    <n v="7.5"/>
    <x v="41"/>
    <x v="1"/>
    <s v="Internal"/>
    <x v="1"/>
    <s v="Legal"/>
    <s v="Marcos Teixeira"/>
    <d v="2026-09-04T00:00:00"/>
    <d v="2026-09-14T00:00:00"/>
    <x v="0"/>
    <m/>
    <x v="0"/>
    <n v="5"/>
    <x v="2"/>
  </r>
  <r>
    <x v="130"/>
    <s v="WOR-082"/>
    <s v="Workstation"/>
    <s v="Jenkins"/>
    <s v="CVE-2024-3094"/>
    <x v="6"/>
    <n v="10"/>
    <x v="113"/>
    <x v="0"/>
    <s v="Restricted"/>
    <x v="1"/>
    <s v="Operations"/>
    <s v="Isabela Nunes"/>
    <d v="2026-08-20T00:00:00"/>
    <d v="2026-08-23T00:00:00"/>
    <x v="0"/>
    <m/>
    <x v="0"/>
    <n v="11"/>
    <x v="0"/>
  </r>
  <r>
    <x v="131"/>
    <s v="LIN-049"/>
    <s v="Linux Server"/>
    <s v="FortiOS"/>
    <s v="CVE-2023-23397"/>
    <x v="1"/>
    <n v="9.8000000000000007"/>
    <x v="114"/>
    <x v="0"/>
    <s v="Restricted"/>
    <x v="1"/>
    <s v="Finance"/>
    <s v="Bruno Lima"/>
    <d v="2026-08-19T00:00:00"/>
    <d v="2026-08-22T00:00:00"/>
    <x v="0"/>
    <m/>
    <x v="0"/>
    <n v="9"/>
    <x v="3"/>
  </r>
  <r>
    <x v="132"/>
    <s v="WEB-111"/>
    <s v="Web Server"/>
    <s v="Jenkins"/>
    <s v="CVE-2022-30190"/>
    <x v="0"/>
    <n v="8"/>
    <x v="115"/>
    <x v="1"/>
    <s v="Internet-facing"/>
    <x v="1"/>
    <s v="Finance"/>
    <s v="Bruno Lima"/>
    <d v="2026-08-04T00:00:00"/>
    <d v="2026-08-18T00:00:00"/>
    <x v="1"/>
    <m/>
    <x v="1"/>
    <n v="8"/>
    <x v="1"/>
  </r>
  <r>
    <x v="133"/>
    <s v="WOR-100"/>
    <s v="Workstation"/>
    <s v="Windows Server"/>
    <s v="CVE-2025-3021"/>
    <x v="4"/>
    <n v="8.6"/>
    <x v="116"/>
    <x v="1"/>
    <s v="Internal"/>
    <x v="0"/>
    <s v="Legal"/>
    <s v="Marcos Teixeira"/>
    <d v="2026-08-23T00:00:00"/>
    <d v="2026-09-04T00:00:00"/>
    <x v="2"/>
    <d v="2026-09-10T00:00:00"/>
    <x v="0"/>
    <n v="6"/>
    <x v="1"/>
  </r>
  <r>
    <x v="134"/>
    <s v="WIN-116"/>
    <s v="Windows Server"/>
    <s v="VMware ESXi"/>
    <s v="CVE-2022-30190"/>
    <x v="0"/>
    <n v="7.8"/>
    <x v="48"/>
    <x v="1"/>
    <s v="Internal"/>
    <x v="0"/>
    <s v="IT"/>
    <s v="Larissa Freitas"/>
    <d v="2026-08-03T00:00:00"/>
    <d v="2026-08-17T00:00:00"/>
    <x v="0"/>
    <m/>
    <x v="0"/>
    <n v="5"/>
    <x v="2"/>
  </r>
  <r>
    <x v="135"/>
    <s v="WEB-047"/>
    <s v="Web Server"/>
    <s v="OpenSSH"/>
    <s v="CVE-2021-44228"/>
    <x v="0"/>
    <n v="10"/>
    <x v="117"/>
    <x v="0"/>
    <s v="Internal"/>
    <x v="0"/>
    <s v="Finance"/>
    <s v="Bruno Lima"/>
    <d v="2026-08-19T00:00:00"/>
    <d v="2026-08-26T00:00:00"/>
    <x v="0"/>
    <m/>
    <x v="0"/>
    <n v="13"/>
    <x v="4"/>
  </r>
  <r>
    <x v="136"/>
    <s v="LIN-017"/>
    <s v="Linux Server"/>
    <s v="FortiOS"/>
    <s v="CVE-2023-34362"/>
    <x v="3"/>
    <n v="9.8000000000000007"/>
    <x v="118"/>
    <x v="1"/>
    <s v="Internal"/>
    <x v="0"/>
    <s v="Engineering"/>
    <s v="Diego Alves"/>
    <d v="2026-09-03T00:00:00"/>
    <d v="2026-09-10T00:00:00"/>
    <x v="0"/>
    <m/>
    <x v="0"/>
    <n v="8"/>
    <x v="3"/>
  </r>
  <r>
    <x v="137"/>
    <s v="LIN-033"/>
    <s v="Linux Server"/>
    <s v="Microsoft SQL Server"/>
    <s v="CVE-2024-21413"/>
    <x v="0"/>
    <n v="9.8000000000000007"/>
    <x v="119"/>
    <x v="1"/>
    <s v="Internal"/>
    <x v="0"/>
    <s v="Legal"/>
    <s v="Marcos Teixeira"/>
    <d v="2026-08-22T00:00:00"/>
    <d v="2026-08-29T00:00:00"/>
    <x v="3"/>
    <d v="2026-09-22T00:00:00"/>
    <x v="0"/>
    <n v="8"/>
    <x v="1"/>
  </r>
  <r>
    <x v="138"/>
    <s v="LIN-111"/>
    <s v="Linux Server"/>
    <s v="Jenkins"/>
    <s v="CVE-2022-30190"/>
    <x v="0"/>
    <n v="7.8"/>
    <x v="36"/>
    <x v="1"/>
    <s v="Restricted"/>
    <x v="2"/>
    <s v="Engineering"/>
    <s v="Diego Alves"/>
    <d v="2026-08-26T00:00:00"/>
    <d v="2026-09-09T00:00:00"/>
    <x v="0"/>
    <m/>
    <x v="0"/>
    <n v="4"/>
    <x v="2"/>
  </r>
  <r>
    <x v="139"/>
    <s v="DAT-002"/>
    <s v="Database"/>
    <s v="Linux Kernel"/>
    <s v="CVE-2025-7710"/>
    <x v="2"/>
    <n v="7.7"/>
    <x v="23"/>
    <x v="1"/>
    <s v="Internet-facing"/>
    <x v="1"/>
    <s v="Finance"/>
    <s v="Bruno Lima"/>
    <d v="2026-08-08T00:00:00"/>
    <d v="2026-08-22T00:00:00"/>
    <x v="0"/>
    <m/>
    <x v="1"/>
    <n v="7"/>
    <x v="3"/>
  </r>
  <r>
    <x v="140"/>
    <s v="DAT-106"/>
    <s v="Database"/>
    <s v="FortiOS"/>
    <s v="CVE-2022-30190"/>
    <x v="0"/>
    <n v="7.8"/>
    <x v="120"/>
    <x v="1"/>
    <s v="Restricted"/>
    <x v="0"/>
    <s v="Operations"/>
    <s v="Henrique Dias"/>
    <d v="2026-08-07T00:00:00"/>
    <d v="2026-08-21T00:00:00"/>
    <x v="3"/>
    <d v="2026-09-08T00:00:00"/>
    <x v="0"/>
    <n v="7"/>
    <x v="1"/>
  </r>
  <r>
    <x v="141"/>
    <s v="WEB-042"/>
    <s v="Web Server"/>
    <s v="PostgreSQL"/>
    <s v="CVE-2023-23397"/>
    <x v="1"/>
    <n v="10"/>
    <x v="34"/>
    <x v="0"/>
    <s v="Internet-facing"/>
    <x v="0"/>
    <s v="Operations"/>
    <s v="Isabela Nunes"/>
    <d v="2026-09-10T00:00:00"/>
    <d v="2026-09-17T00:00:00"/>
    <x v="0"/>
    <m/>
    <x v="1"/>
    <n v="13"/>
    <x v="4"/>
  </r>
  <r>
    <x v="142"/>
    <s v="DAT-015"/>
    <s v="Database"/>
    <s v="Microsoft Exchange"/>
    <s v="CVE-2025-4912"/>
    <x v="5"/>
    <n v="9.1"/>
    <x v="121"/>
    <x v="1"/>
    <s v="Restricted"/>
    <x v="0"/>
    <s v="IT"/>
    <s v="Larissa Freitas"/>
    <d v="2026-08-03T00:00:00"/>
    <d v="2026-08-10T00:00:00"/>
    <x v="0"/>
    <m/>
    <x v="0"/>
    <n v="7"/>
    <x v="3"/>
  </r>
  <r>
    <x v="143"/>
    <s v="WIN-031"/>
    <s v="Windows Server"/>
    <s v="OpenSSH"/>
    <s v="CVE-2023-34362"/>
    <x v="3"/>
    <n v="10"/>
    <x v="122"/>
    <x v="1"/>
    <s v="Internet-facing"/>
    <x v="0"/>
    <s v="Finance"/>
    <s v="Ana Costa"/>
    <d v="2026-08-25T00:00:00"/>
    <d v="2026-09-01T00:00:00"/>
    <x v="2"/>
    <d v="2026-09-22T00:00:00"/>
    <x v="1"/>
    <n v="10"/>
    <x v="1"/>
  </r>
  <r>
    <x v="144"/>
    <s v="FIR-013"/>
    <s v="Firewall"/>
    <s v="Windows Server"/>
    <s v="CVE-2024-21413"/>
    <x v="0"/>
    <n v="9.8000000000000007"/>
    <x v="123"/>
    <x v="0"/>
    <s v="Restricted"/>
    <x v="0"/>
    <s v="Sales"/>
    <s v="Felipe Martins"/>
    <d v="2026-08-18T00:00:00"/>
    <d v="2026-08-22T00:00:00"/>
    <x v="1"/>
    <m/>
    <x v="0"/>
    <n v="10"/>
    <x v="1"/>
  </r>
  <r>
    <x v="145"/>
    <s v="DAT-031"/>
    <s v="Database"/>
    <s v="Apache HTTP Server"/>
    <s v="CVE-2024-6387"/>
    <x v="0"/>
    <n v="8.1"/>
    <x v="51"/>
    <x v="1"/>
    <s v="Restricted"/>
    <x v="0"/>
    <s v="Sales"/>
    <s v="Felipe Martins"/>
    <d v="2026-08-24T00:00:00"/>
    <d v="2026-09-07T00:00:00"/>
    <x v="2"/>
    <d v="2026-09-17T00:00:00"/>
    <x v="0"/>
    <n v="6"/>
    <x v="1"/>
  </r>
  <r>
    <x v="146"/>
    <s v="WOR-025"/>
    <s v="Workstation"/>
    <s v="Confluence"/>
    <s v="CVE-2026-2173"/>
    <x v="1"/>
    <n v="8.8000000000000007"/>
    <x v="124"/>
    <x v="1"/>
    <s v="Internal"/>
    <x v="1"/>
    <s v="Sales"/>
    <s v="Felipe Martins"/>
    <d v="2026-08-06T00:00:00"/>
    <d v="2026-08-20T00:00:00"/>
    <x v="3"/>
    <d v="2026-08-09T00:00:00"/>
    <x v="0"/>
    <n v="4"/>
    <x v="1"/>
  </r>
  <r>
    <x v="147"/>
    <s v="WOR-032"/>
    <s v="Workstation"/>
    <s v="Windows Server"/>
    <s v="CVE-2025-4912"/>
    <x v="5"/>
    <n v="9.3000000000000007"/>
    <x v="125"/>
    <x v="1"/>
    <s v="Internet-facing"/>
    <x v="1"/>
    <s v="Legal"/>
    <s v="Marcos Teixeira"/>
    <d v="2026-08-14T00:00:00"/>
    <d v="2026-08-19T00:00:00"/>
    <x v="0"/>
    <m/>
    <x v="1"/>
    <n v="8"/>
    <x v="3"/>
  </r>
  <r>
    <x v="148"/>
    <s v="LIN-043"/>
    <s v="Linux Server"/>
    <s v="Windows Server"/>
    <s v="CVE-2025-4912"/>
    <x v="5"/>
    <n v="9.1"/>
    <x v="103"/>
    <x v="1"/>
    <s v="Internal"/>
    <x v="2"/>
    <s v="Legal"/>
    <s v="Marcos Teixeira"/>
    <d v="2026-08-01T00:00:00"/>
    <d v="2026-08-08T00:00:00"/>
    <x v="0"/>
    <m/>
    <x v="0"/>
    <n v="5"/>
    <x v="2"/>
  </r>
  <r>
    <x v="149"/>
    <s v="WEB-033"/>
    <s v="Web Server"/>
    <s v="Apache HTTP Server"/>
    <s v="CVE-2025-4912"/>
    <x v="5"/>
    <n v="9.1"/>
    <x v="126"/>
    <x v="1"/>
    <s v="Internal"/>
    <x v="0"/>
    <s v="Engineering"/>
    <s v="Carla Mendes"/>
    <d v="2026-08-02T00:00:00"/>
    <d v="2026-08-06T00:00:00"/>
    <x v="0"/>
    <m/>
    <x v="0"/>
    <n v="5"/>
    <x v="2"/>
  </r>
  <r>
    <x v="150"/>
    <s v="WOR-003"/>
    <s v="Workstation"/>
    <s v="Microsoft SQL Server"/>
    <s v="CVE-2025-4912"/>
    <x v="5"/>
    <n v="9.1"/>
    <x v="127"/>
    <x v="1"/>
    <s v="Internal"/>
    <x v="1"/>
    <s v="Operations"/>
    <s v="Henrique Dias"/>
    <d v="2026-08-04T00:00:00"/>
    <d v="2026-08-07T00:00:00"/>
    <x v="0"/>
    <m/>
    <x v="0"/>
    <n v="5"/>
    <x v="2"/>
  </r>
  <r>
    <x v="151"/>
    <s v="WIN-061"/>
    <s v="Windows Server"/>
    <s v="FortiOS"/>
    <s v="CVE-2024-21413"/>
    <x v="0"/>
    <n v="9.8000000000000007"/>
    <x v="128"/>
    <x v="0"/>
    <s v="Internet-facing"/>
    <x v="0"/>
    <s v="IT"/>
    <s v="João Ribeiro"/>
    <d v="2026-08-07T00:00:00"/>
    <d v="2026-08-14T00:00:00"/>
    <x v="0"/>
    <m/>
    <x v="1"/>
    <n v="12"/>
    <x v="0"/>
  </r>
  <r>
    <x v="152"/>
    <s v="WIN-094"/>
    <s v="Windows Server"/>
    <s v="Linux Kernel"/>
    <s v="CVE-2022-30190"/>
    <x v="0"/>
    <n v="7.8"/>
    <x v="129"/>
    <x v="1"/>
    <s v="Internal"/>
    <x v="0"/>
    <s v="Operations"/>
    <s v="Henrique Dias"/>
    <d v="2026-08-20T00:00:00"/>
    <d v="2026-09-03T00:00:00"/>
    <x v="0"/>
    <m/>
    <x v="0"/>
    <n v="6"/>
    <x v="2"/>
  </r>
  <r>
    <x v="153"/>
    <s v="DAT-109"/>
    <s v="Database"/>
    <s v="GitLab"/>
    <s v="CVE-2024-3094"/>
    <x v="6"/>
    <n v="10"/>
    <x v="130"/>
    <x v="1"/>
    <s v="Internal"/>
    <x v="1"/>
    <s v="Finance"/>
    <s v="Bruno Lima"/>
    <d v="2026-09-01T00:00:00"/>
    <d v="2026-09-08T00:00:00"/>
    <x v="0"/>
    <m/>
    <x v="0"/>
    <n v="8"/>
    <x v="3"/>
  </r>
  <r>
    <x v="154"/>
    <s v="WIN-042"/>
    <s v="Windows Server"/>
    <s v="OpenSSH"/>
    <s v="CVE-2023-23397"/>
    <x v="1"/>
    <n v="9.8000000000000007"/>
    <x v="131"/>
    <x v="0"/>
    <s v="Internal"/>
    <x v="0"/>
    <s v="Finance"/>
    <s v="Bruno Lima"/>
    <d v="2026-08-18T00:00:00"/>
    <d v="2026-08-25T00:00:00"/>
    <x v="0"/>
    <m/>
    <x v="0"/>
    <n v="10"/>
    <x v="0"/>
  </r>
  <r>
    <x v="155"/>
    <s v="WEB-068"/>
    <s v="Web Server"/>
    <s v="Confluence"/>
    <s v="CVE-2025-7710"/>
    <x v="2"/>
    <n v="7.5"/>
    <x v="2"/>
    <x v="1"/>
    <s v="Internal"/>
    <x v="2"/>
    <s v="Sales"/>
    <s v="Felipe Martins"/>
    <d v="2026-09-02T00:00:00"/>
    <d v="2026-09-16T00:00:00"/>
    <x v="0"/>
    <m/>
    <x v="0"/>
    <n v="3"/>
    <x v="2"/>
  </r>
  <r>
    <x v="156"/>
    <s v="FIR-015"/>
    <s v="Firewall"/>
    <s v="VMware ESXi"/>
    <s v="CVE-2022-30190"/>
    <x v="0"/>
    <n v="7.8"/>
    <x v="132"/>
    <x v="1"/>
    <s v="Internet-facing"/>
    <x v="0"/>
    <s v="Legal"/>
    <s v="Marcos Teixeira"/>
    <d v="2026-09-05T00:00:00"/>
    <d v="2026-09-19T00:00:00"/>
    <x v="0"/>
    <m/>
    <x v="1"/>
    <n v="8"/>
    <x v="3"/>
  </r>
  <r>
    <x v="157"/>
    <s v="DAT-114"/>
    <s v="Database"/>
    <s v="GitLab"/>
    <s v="CVE-2025-3021"/>
    <x v="4"/>
    <n v="9"/>
    <x v="133"/>
    <x v="1"/>
    <s v="Internet-facing"/>
    <x v="0"/>
    <s v="Sales"/>
    <s v="Gabriela Souza"/>
    <d v="2026-08-22T00:00:00"/>
    <d v="2026-08-29T00:00:00"/>
    <x v="0"/>
    <m/>
    <x v="1"/>
    <n v="10"/>
    <x v="0"/>
  </r>
  <r>
    <x v="158"/>
    <s v="FIR-013"/>
    <s v="Firewall"/>
    <s v="GitLab"/>
    <s v="CVE-2024-6387"/>
    <x v="0"/>
    <n v="8.1"/>
    <x v="134"/>
    <x v="0"/>
    <s v="Restricted"/>
    <x v="0"/>
    <s v="Sales"/>
    <s v="Felipe Martins"/>
    <d v="2026-08-17T00:00:00"/>
    <d v="2026-08-31T00:00:00"/>
    <x v="0"/>
    <m/>
    <x v="0"/>
    <n v="9"/>
    <x v="3"/>
  </r>
  <r>
    <x v="159"/>
    <s v="DAT-009"/>
    <s v="Database"/>
    <s v="Apache HTTP Server"/>
    <s v="CVE-2026-2173"/>
    <x v="1"/>
    <n v="8.8000000000000007"/>
    <x v="133"/>
    <x v="1"/>
    <s v="Internal"/>
    <x v="2"/>
    <s v="IT"/>
    <s v="Larissa Freitas"/>
    <d v="2026-08-06T00:00:00"/>
    <d v="2026-08-20T00:00:00"/>
    <x v="0"/>
    <m/>
    <x v="0"/>
    <n v="5"/>
    <x v="2"/>
  </r>
  <r>
    <x v="160"/>
    <s v="LIN-072"/>
    <s v="Linux Server"/>
    <s v="Windows Server"/>
    <s v="CVE-2026-1847"/>
    <x v="0"/>
    <n v="9.8000000000000007"/>
    <x v="135"/>
    <x v="1"/>
    <s v="Internal"/>
    <x v="1"/>
    <s v="Legal"/>
    <s v="Marcos Teixeira"/>
    <d v="2026-09-05T00:00:00"/>
    <d v="2026-09-12T00:00:00"/>
    <x v="0"/>
    <m/>
    <x v="0"/>
    <n v="7"/>
    <x v="3"/>
  </r>
  <r>
    <x v="161"/>
    <s v="WOR-112"/>
    <s v="Workstation"/>
    <s v="GitLab"/>
    <s v="CVE-2022-30190"/>
    <x v="0"/>
    <n v="7.8"/>
    <x v="136"/>
    <x v="1"/>
    <s v="Restricted"/>
    <x v="2"/>
    <s v="Sales"/>
    <s v="Gabriela Souza"/>
    <d v="2026-08-04T00:00:00"/>
    <d v="2026-08-18T00:00:00"/>
    <x v="4"/>
    <m/>
    <x v="0"/>
    <n v="4"/>
    <x v="1"/>
  </r>
  <r>
    <x v="162"/>
    <s v="WIN-074"/>
    <s v="Windows Server"/>
    <s v="PostgreSQL"/>
    <s v="CVE-2023-34362"/>
    <x v="3"/>
    <n v="9.8000000000000007"/>
    <x v="137"/>
    <x v="1"/>
    <s v="Internal"/>
    <x v="0"/>
    <s v="HR"/>
    <s v="Elisa Rocha"/>
    <d v="2026-08-10T00:00:00"/>
    <d v="2026-08-17T00:00:00"/>
    <x v="0"/>
    <m/>
    <x v="0"/>
    <n v="8"/>
    <x v="3"/>
  </r>
  <r>
    <x v="163"/>
    <s v="WIN-045"/>
    <s v="Windows Server"/>
    <s v="FortiOS"/>
    <s v="CVE-2023-34362"/>
    <x v="3"/>
    <n v="9.8000000000000007"/>
    <x v="100"/>
    <x v="1"/>
    <s v="Internet-facing"/>
    <x v="0"/>
    <s v="Legal"/>
    <s v="Marcos Teixeira"/>
    <d v="2026-08-08T00:00:00"/>
    <d v="2026-08-15T00:00:00"/>
    <x v="2"/>
    <d v="2026-08-24T00:00:00"/>
    <x v="1"/>
    <n v="9"/>
    <x v="1"/>
  </r>
  <r>
    <x v="164"/>
    <s v="WEB-099"/>
    <s v="Web Server"/>
    <s v="Windows Server"/>
    <s v="CVE-2023-23397"/>
    <x v="1"/>
    <n v="10"/>
    <x v="138"/>
    <x v="1"/>
    <s v="Internet-facing"/>
    <x v="1"/>
    <s v="Legal"/>
    <s v="Marcos Teixeira"/>
    <d v="2026-09-05T00:00:00"/>
    <d v="2026-09-09T00:00:00"/>
    <x v="2"/>
    <d v="2026-09-08T00:00:00"/>
    <x v="1"/>
    <n v="9"/>
    <x v="1"/>
  </r>
  <r>
    <x v="165"/>
    <s v="FIR-098"/>
    <s v="Firewall"/>
    <s v="FortiOS"/>
    <s v="CVE-2025-7710"/>
    <x v="2"/>
    <n v="7.5"/>
    <x v="1"/>
    <x v="1"/>
    <s v="Internal"/>
    <x v="1"/>
    <s v="HR"/>
    <s v="Elisa Rocha"/>
    <d v="2026-08-23T00:00:00"/>
    <d v="2026-09-04T00:00:00"/>
    <x v="1"/>
    <m/>
    <x v="0"/>
    <n v="4"/>
    <x v="1"/>
  </r>
  <r>
    <x v="166"/>
    <s v="LIN-095"/>
    <s v="Linux Server"/>
    <s v="Microsoft Exchange"/>
    <s v="CVE-2022-30190"/>
    <x v="0"/>
    <n v="7.8"/>
    <x v="83"/>
    <x v="1"/>
    <s v="Internal"/>
    <x v="0"/>
    <s v="Finance"/>
    <s v="Ana Costa"/>
    <d v="2026-08-06T00:00:00"/>
    <d v="2026-08-20T00:00:00"/>
    <x v="1"/>
    <m/>
    <x v="0"/>
    <n v="6"/>
    <x v="1"/>
  </r>
  <r>
    <x v="167"/>
    <s v="DAT-059"/>
    <s v="Database"/>
    <s v="OpenSSH"/>
    <s v="CVE-2024-6387"/>
    <x v="0"/>
    <n v="8.1"/>
    <x v="139"/>
    <x v="0"/>
    <s v="Internal"/>
    <x v="0"/>
    <s v="Sales"/>
    <s v="Felipe Martins"/>
    <d v="2026-08-21T00:00:00"/>
    <d v="2026-09-04T00:00:00"/>
    <x v="2"/>
    <d v="2026-08-28T00:00:00"/>
    <x v="0"/>
    <n v="8"/>
    <x v="1"/>
  </r>
  <r>
    <x v="168"/>
    <s v="LIN-097"/>
    <s v="Linux Server"/>
    <s v="Microsoft Exchange"/>
    <s v="CVE-2023-23397"/>
    <x v="1"/>
    <n v="9.8000000000000007"/>
    <x v="140"/>
    <x v="1"/>
    <s v="Internet-facing"/>
    <x v="0"/>
    <s v="Engineering"/>
    <s v="Diego Alves"/>
    <d v="2026-08-18T00:00:00"/>
    <d v="2026-08-25T00:00:00"/>
    <x v="2"/>
    <d v="2026-09-16T00:00:00"/>
    <x v="1"/>
    <n v="9"/>
    <x v="1"/>
  </r>
  <r>
    <x v="169"/>
    <s v="DAT-054"/>
    <s v="Database"/>
    <s v="PostgreSQL"/>
    <s v="CVE-2025-7710"/>
    <x v="2"/>
    <n v="7.5"/>
    <x v="141"/>
    <x v="1"/>
    <s v="Internal"/>
    <x v="1"/>
    <s v="Operations"/>
    <s v="Henrique Dias"/>
    <d v="2026-09-02T00:00:00"/>
    <d v="2026-09-12T00:00:00"/>
    <x v="0"/>
    <m/>
    <x v="0"/>
    <n v="4"/>
    <x v="2"/>
  </r>
  <r>
    <x v="170"/>
    <s v="FIR-087"/>
    <s v="Firewall"/>
    <s v="Confluence"/>
    <s v="CVE-2023-23397"/>
    <x v="1"/>
    <n v="9.8000000000000007"/>
    <x v="142"/>
    <x v="0"/>
    <s v="Internal"/>
    <x v="2"/>
    <s v="HR"/>
    <s v="Elisa Rocha"/>
    <d v="2026-08-20T00:00:00"/>
    <d v="2026-08-23T00:00:00"/>
    <x v="0"/>
    <m/>
    <x v="0"/>
    <n v="9"/>
    <x v="3"/>
  </r>
  <r>
    <x v="171"/>
    <s v="LIN-039"/>
    <s v="Linux Server"/>
    <s v="OpenSSH"/>
    <s v="CVE-2025-3021"/>
    <x v="4"/>
    <n v="8.6"/>
    <x v="44"/>
    <x v="1"/>
    <s v="Internet-facing"/>
    <x v="1"/>
    <s v="Finance"/>
    <s v="Ana Costa"/>
    <d v="2026-08-17T00:00:00"/>
    <d v="2026-08-31T00:00:00"/>
    <x v="0"/>
    <m/>
    <x v="1"/>
    <n v="6"/>
    <x v="2"/>
  </r>
  <r>
    <x v="172"/>
    <s v="DAT-096"/>
    <s v="Database"/>
    <s v="OpenSSH"/>
    <s v="CVE-2024-3094"/>
    <x v="6"/>
    <n v="10"/>
    <x v="20"/>
    <x v="0"/>
    <s v="Internal"/>
    <x v="1"/>
    <s v="Finance"/>
    <s v="Bruno Lima"/>
    <d v="2026-09-04T00:00:00"/>
    <d v="2026-09-11T00:00:00"/>
    <x v="0"/>
    <m/>
    <x v="0"/>
    <n v="10"/>
    <x v="0"/>
  </r>
  <r>
    <x v="173"/>
    <s v="DAT-111"/>
    <s v="Database"/>
    <s v="Microsoft Exchange"/>
    <s v="CVE-2021-44228"/>
    <x v="0"/>
    <n v="10"/>
    <x v="143"/>
    <x v="0"/>
    <s v="Internal"/>
    <x v="1"/>
    <s v="Finance"/>
    <s v="Bruno Lima"/>
    <d v="2026-08-30T00:00:00"/>
    <d v="2026-09-06T00:00:00"/>
    <x v="4"/>
    <m/>
    <x v="0"/>
    <n v="9"/>
    <x v="1"/>
  </r>
  <r>
    <x v="174"/>
    <s v="DAT-074"/>
    <s v="Database"/>
    <s v="Jenkins"/>
    <s v="CVE-2024-3094"/>
    <x v="6"/>
    <n v="10"/>
    <x v="15"/>
    <x v="0"/>
    <s v="Internet-facing"/>
    <x v="0"/>
    <s v="Operations"/>
    <s v="Isabela Nunes"/>
    <d v="2026-08-19T00:00:00"/>
    <d v="2026-08-25T00:00:00"/>
    <x v="0"/>
    <m/>
    <x v="1"/>
    <n v="13"/>
    <x v="4"/>
  </r>
  <r>
    <x v="175"/>
    <s v="WEB-059"/>
    <s v="Web Server"/>
    <s v="FortiOS"/>
    <s v="CVE-2021-44228"/>
    <x v="0"/>
    <n v="10"/>
    <x v="144"/>
    <x v="0"/>
    <s v="Internal"/>
    <x v="0"/>
    <s v="Engineering"/>
    <s v="Diego Alves"/>
    <d v="2026-08-07T00:00:00"/>
    <d v="2026-08-14T00:00:00"/>
    <x v="0"/>
    <m/>
    <x v="0"/>
    <n v="12"/>
    <x v="0"/>
  </r>
  <r>
    <x v="176"/>
    <s v="WIN-051"/>
    <s v="Windows Server"/>
    <s v="Jenkins"/>
    <s v="CVE-2025-7710"/>
    <x v="2"/>
    <n v="7.5"/>
    <x v="2"/>
    <x v="1"/>
    <s v="Internal"/>
    <x v="0"/>
    <s v="Operations"/>
    <s v="Henrique Dias"/>
    <d v="2026-08-22T00:00:00"/>
    <d v="2026-09-05T00:00:00"/>
    <x v="1"/>
    <m/>
    <x v="0"/>
    <n v="5"/>
    <x v="1"/>
  </r>
  <r>
    <x v="177"/>
    <s v="WEB-082"/>
    <s v="Web Server"/>
    <s v="Linux Kernel"/>
    <s v="CVE-2026-2173"/>
    <x v="1"/>
    <n v="8.8000000000000007"/>
    <x v="145"/>
    <x v="1"/>
    <s v="Restricted"/>
    <x v="0"/>
    <s v="Finance"/>
    <s v="Bruno Lima"/>
    <d v="2026-09-02T00:00:00"/>
    <d v="2026-09-13T00:00:00"/>
    <x v="0"/>
    <m/>
    <x v="0"/>
    <n v="6"/>
    <x v="2"/>
  </r>
  <r>
    <x v="178"/>
    <s v="FIR-105"/>
    <s v="Firewall"/>
    <s v="PostgreSQL"/>
    <s v="CVE-2025-4912"/>
    <x v="5"/>
    <n v="9.1"/>
    <x v="146"/>
    <x v="1"/>
    <s v="Internet-facing"/>
    <x v="0"/>
    <s v="IT"/>
    <s v="João Ribeiro"/>
    <d v="2026-08-07T00:00:00"/>
    <d v="2026-08-12T00:00:00"/>
    <x v="4"/>
    <m/>
    <x v="1"/>
    <n v="8"/>
    <x v="1"/>
  </r>
  <r>
    <x v="179"/>
    <s v="LIN-098"/>
    <s v="Linux Server"/>
    <s v="Apache HTTP Server"/>
    <s v="CVE-2022-30190"/>
    <x v="0"/>
    <n v="7.8"/>
    <x v="147"/>
    <x v="1"/>
    <s v="Restricted"/>
    <x v="0"/>
    <s v="Operations"/>
    <s v="Isabela Nunes"/>
    <d v="2026-08-12T00:00:00"/>
    <d v="2026-08-26T00:00:00"/>
    <x v="1"/>
    <m/>
    <x v="0"/>
    <n v="6"/>
    <x v="1"/>
  </r>
  <r>
    <x v="180"/>
    <s v="WEB-098"/>
    <s v="Web Server"/>
    <s v="Confluence"/>
    <s v="CVE-2023-23397"/>
    <x v="1"/>
    <n v="10"/>
    <x v="148"/>
    <x v="1"/>
    <s v="Internet-facing"/>
    <x v="2"/>
    <s v="Sales"/>
    <s v="Gabriela Souza"/>
    <d v="2026-09-06T00:00:00"/>
    <d v="2026-09-13T00:00:00"/>
    <x v="2"/>
    <d v="2026-09-28T00:00:00"/>
    <x v="1"/>
    <n v="9"/>
    <x v="1"/>
  </r>
  <r>
    <x v="181"/>
    <s v="DAT-009"/>
    <s v="Database"/>
    <s v="Confluence"/>
    <s v="CVE-2024-21413"/>
    <x v="0"/>
    <n v="10"/>
    <x v="149"/>
    <x v="0"/>
    <s v="Internet-facing"/>
    <x v="0"/>
    <s v="Engineering"/>
    <s v="Carla Mendes"/>
    <d v="2026-08-18T00:00:00"/>
    <d v="2026-08-25T00:00:00"/>
    <x v="2"/>
    <d v="2026-09-11T00:00:00"/>
    <x v="1"/>
    <n v="14"/>
    <x v="1"/>
  </r>
  <r>
    <x v="182"/>
    <s v="DAT-058"/>
    <s v="Database"/>
    <s v="Microsoft Exchange"/>
    <s v="CVE-2026-1847"/>
    <x v="0"/>
    <n v="9.8000000000000007"/>
    <x v="150"/>
    <x v="1"/>
    <s v="Internal"/>
    <x v="0"/>
    <s v="HR"/>
    <s v="Elisa Rocha"/>
    <d v="2026-08-24T00:00:00"/>
    <d v="2026-08-31T00:00:00"/>
    <x v="2"/>
    <d v="2026-08-30T00:00:00"/>
    <x v="0"/>
    <n v="7"/>
    <x v="1"/>
  </r>
  <r>
    <x v="183"/>
    <s v="WEB-065"/>
    <s v="Web Server"/>
    <s v="Confluence"/>
    <s v="CVE-2024-3094"/>
    <x v="6"/>
    <n v="10"/>
    <x v="151"/>
    <x v="0"/>
    <s v="Internet-facing"/>
    <x v="2"/>
    <s v="Operations"/>
    <s v="Henrique Dias"/>
    <d v="2026-08-03T00:00:00"/>
    <d v="2026-08-10T00:00:00"/>
    <x v="0"/>
    <m/>
    <x v="1"/>
    <n v="12"/>
    <x v="0"/>
  </r>
  <r>
    <x v="184"/>
    <s v="WEB-061"/>
    <s v="Web Server"/>
    <s v="OpenSSH"/>
    <s v="CVE-2023-34362"/>
    <x v="3"/>
    <n v="9.8000000000000007"/>
    <x v="140"/>
    <x v="1"/>
    <s v="Internal"/>
    <x v="2"/>
    <s v="HR"/>
    <s v="Elisa Rocha"/>
    <d v="2026-08-04T00:00:00"/>
    <d v="2026-08-11T00:00:00"/>
    <x v="1"/>
    <m/>
    <x v="0"/>
    <n v="5"/>
    <x v="1"/>
  </r>
  <r>
    <x v="185"/>
    <s v="WIN-065"/>
    <s v="Windows Server"/>
    <s v="OpenSSH"/>
    <s v="CVE-2022-30190"/>
    <x v="0"/>
    <n v="7.8"/>
    <x v="152"/>
    <x v="1"/>
    <s v="Restricted"/>
    <x v="1"/>
    <s v="IT"/>
    <s v="Larissa Freitas"/>
    <d v="2026-08-03T00:00:00"/>
    <d v="2026-08-17T00:00:00"/>
    <x v="3"/>
    <d v="2026-09-02T00:00:00"/>
    <x v="0"/>
    <n v="5"/>
    <x v="1"/>
  </r>
  <r>
    <x v="186"/>
    <s v="WEB-079"/>
    <s v="Web Server"/>
    <s v="FortiOS"/>
    <s v="CVE-2025-4912"/>
    <x v="5"/>
    <n v="9.1"/>
    <x v="153"/>
    <x v="1"/>
    <s v="Internal"/>
    <x v="0"/>
    <s v="Operations"/>
    <s v="Isabela Nunes"/>
    <d v="2026-08-24T00:00:00"/>
    <d v="2026-08-31T00:00:00"/>
    <x v="1"/>
    <m/>
    <x v="0"/>
    <n v="5"/>
    <x v="1"/>
  </r>
  <r>
    <x v="187"/>
    <s v="WOR-087"/>
    <s v="Workstation"/>
    <s v="Microsoft Exchange"/>
    <s v="CVE-2023-23397"/>
    <x v="1"/>
    <n v="9.8000000000000007"/>
    <x v="154"/>
    <x v="1"/>
    <s v="Internal"/>
    <x v="0"/>
    <s v="Sales"/>
    <s v="Gabriela Souza"/>
    <d v="2026-08-22T00:00:00"/>
    <d v="2026-08-28T00:00:00"/>
    <x v="1"/>
    <m/>
    <x v="0"/>
    <n v="8"/>
    <x v="1"/>
  </r>
  <r>
    <x v="188"/>
    <s v="WOR-093"/>
    <s v="Workstation"/>
    <s v="Windows Server"/>
    <s v="CVE-2022-30190"/>
    <x v="0"/>
    <n v="7.8"/>
    <x v="155"/>
    <x v="1"/>
    <s v="Internal"/>
    <x v="0"/>
    <s v="HR"/>
    <s v="Elisa Rocha"/>
    <d v="2026-08-10T00:00:00"/>
    <d v="2026-08-24T00:00:00"/>
    <x v="3"/>
    <d v="2026-08-21T00:00:00"/>
    <x v="0"/>
    <n v="5"/>
    <x v="1"/>
  </r>
  <r>
    <x v="189"/>
    <s v="FIR-090"/>
    <s v="Firewall"/>
    <s v="GitLab"/>
    <s v="CVE-2022-30190"/>
    <x v="0"/>
    <n v="7.8"/>
    <x v="156"/>
    <x v="1"/>
    <s v="Internal"/>
    <x v="1"/>
    <s v="HR"/>
    <s v="Elisa Rocha"/>
    <d v="2026-08-09T00:00:00"/>
    <d v="2026-08-23T00:00:00"/>
    <x v="1"/>
    <m/>
    <x v="0"/>
    <n v="3"/>
    <x v="1"/>
  </r>
  <r>
    <x v="190"/>
    <s v="WEB-049"/>
    <s v="Web Server"/>
    <s v="FortiOS"/>
    <s v="CVE-2022-30190"/>
    <x v="0"/>
    <n v="7.8"/>
    <x v="157"/>
    <x v="1"/>
    <s v="Internal"/>
    <x v="2"/>
    <s v="HR"/>
    <s v="Elisa Rocha"/>
    <d v="2026-08-09T00:00:00"/>
    <d v="2026-08-23T00:00:00"/>
    <x v="0"/>
    <m/>
    <x v="0"/>
    <n v="4"/>
    <x v="2"/>
  </r>
  <r>
    <x v="191"/>
    <s v="FIR-055"/>
    <s v="Firewall"/>
    <s v="FortiOS"/>
    <s v="CVE-2023-34362"/>
    <x v="3"/>
    <n v="9.8000000000000007"/>
    <x v="158"/>
    <x v="1"/>
    <s v="Internal"/>
    <x v="1"/>
    <s v="IT"/>
    <s v="João Ribeiro"/>
    <d v="2026-08-02T00:00:00"/>
    <d v="2026-08-09T00:00:00"/>
    <x v="0"/>
    <m/>
    <x v="0"/>
    <n v="6"/>
    <x v="2"/>
  </r>
  <r>
    <x v="192"/>
    <s v="WOR-099"/>
    <s v="Workstation"/>
    <s v="PostgreSQL"/>
    <s v="CVE-2024-21413"/>
    <x v="0"/>
    <n v="9.8000000000000007"/>
    <x v="159"/>
    <x v="0"/>
    <s v="Internal"/>
    <x v="2"/>
    <s v="Engineering"/>
    <s v="Carla Mendes"/>
    <d v="2026-08-09T00:00:00"/>
    <d v="2026-08-13T00:00:00"/>
    <x v="0"/>
    <m/>
    <x v="0"/>
    <n v="9"/>
    <x v="3"/>
  </r>
  <r>
    <x v="193"/>
    <s v="WEB-107"/>
    <s v="Web Server"/>
    <s v="Linux Kernel"/>
    <s v="CVE-2021-44228"/>
    <x v="0"/>
    <n v="10"/>
    <x v="160"/>
    <x v="0"/>
    <s v="Internal"/>
    <x v="2"/>
    <s v="Operations"/>
    <s v="Henrique Dias"/>
    <d v="2026-08-22T00:00:00"/>
    <d v="2026-08-29T00:00:00"/>
    <x v="0"/>
    <m/>
    <x v="0"/>
    <n v="9"/>
    <x v="3"/>
  </r>
  <r>
    <x v="194"/>
    <s v="DAT-020"/>
    <s v="Database"/>
    <s v="OpenSSH"/>
    <s v="CVE-2025-4912"/>
    <x v="5"/>
    <n v="9.1"/>
    <x v="161"/>
    <x v="1"/>
    <s v="Internal"/>
    <x v="0"/>
    <s v="Operations"/>
    <s v="Henrique Dias"/>
    <d v="2026-09-09T00:00:00"/>
    <d v="2026-09-16T00:00:00"/>
    <x v="1"/>
    <m/>
    <x v="0"/>
    <n v="6"/>
    <x v="1"/>
  </r>
  <r>
    <x v="195"/>
    <s v="DAT-006"/>
    <s v="Database"/>
    <s v="FortiOS"/>
    <s v="CVE-2024-3094"/>
    <x v="6"/>
    <n v="10"/>
    <x v="162"/>
    <x v="1"/>
    <s v="Internet-facing"/>
    <x v="0"/>
    <s v="IT"/>
    <s v="Larissa Freitas"/>
    <d v="2026-08-16T00:00:00"/>
    <d v="2026-08-23T00:00:00"/>
    <x v="1"/>
    <m/>
    <x v="1"/>
    <n v="11"/>
    <x v="1"/>
  </r>
  <r>
    <x v="196"/>
    <s v="FIR-101"/>
    <s v="Firewall"/>
    <s v="PostgreSQL"/>
    <s v="CVE-2024-21413"/>
    <x v="0"/>
    <n v="9.8000000000000007"/>
    <x v="52"/>
    <x v="0"/>
    <s v="Internal"/>
    <x v="0"/>
    <s v="Legal"/>
    <s v="Marcos Teixeira"/>
    <d v="2026-08-20T00:00:00"/>
    <d v="2026-08-27T00:00:00"/>
    <x v="0"/>
    <m/>
    <x v="0"/>
    <n v="10"/>
    <x v="0"/>
  </r>
  <r>
    <x v="197"/>
    <s v="LIN-048"/>
    <s v="Linux Server"/>
    <s v="Windows Server"/>
    <s v="CVE-2022-30190"/>
    <x v="0"/>
    <n v="7.8"/>
    <x v="107"/>
    <x v="1"/>
    <s v="Internal"/>
    <x v="1"/>
    <s v="Legal"/>
    <s v="Marcos Teixeira"/>
    <d v="2026-08-29T00:00:00"/>
    <d v="2026-09-12T00:00:00"/>
    <x v="1"/>
    <m/>
    <x v="0"/>
    <n v="4"/>
    <x v="1"/>
  </r>
  <r>
    <x v="198"/>
    <s v="DAT-065"/>
    <s v="Database"/>
    <s v="GitLab"/>
    <s v="CVE-2023-34362"/>
    <x v="3"/>
    <n v="9.8000000000000007"/>
    <x v="163"/>
    <x v="1"/>
    <s v="Internal"/>
    <x v="0"/>
    <s v="Legal"/>
    <s v="Marcos Teixeira"/>
    <d v="2026-08-11T00:00:00"/>
    <d v="2026-08-18T00:00:00"/>
    <x v="1"/>
    <m/>
    <x v="0"/>
    <n v="7"/>
    <x v="1"/>
  </r>
  <r>
    <x v="199"/>
    <s v="WOR-007"/>
    <s v="Workstation"/>
    <s v="Confluence"/>
    <s v="CVE-2022-30190"/>
    <x v="0"/>
    <n v="7.8"/>
    <x v="164"/>
    <x v="1"/>
    <s v="Internal"/>
    <x v="2"/>
    <s v="Legal"/>
    <s v="Marcos Teixeira"/>
    <d v="2026-08-24T00:00:00"/>
    <d v="2026-09-07T00:00:00"/>
    <x v="4"/>
    <m/>
    <x v="0"/>
    <n v="4"/>
    <x v="1"/>
  </r>
  <r>
    <x v="200"/>
    <s v="WEB-109"/>
    <s v="Web Server"/>
    <s v="Microsoft SQL Server"/>
    <s v="CVE-2026-2173"/>
    <x v="1"/>
    <n v="8.8000000000000007"/>
    <x v="165"/>
    <x v="1"/>
    <s v="Internal"/>
    <x v="0"/>
    <s v="IT"/>
    <s v="Larissa Freitas"/>
    <d v="2026-08-06T00:00:00"/>
    <d v="2026-08-20T00:00:00"/>
    <x v="4"/>
    <m/>
    <x v="0"/>
    <n v="5"/>
    <x v="1"/>
  </r>
  <r>
    <x v="201"/>
    <s v="WEB-019"/>
    <s v="Web Server"/>
    <s v="Apache HTTP Server"/>
    <s v="CVE-2024-3094"/>
    <x v="6"/>
    <n v="10"/>
    <x v="137"/>
    <x v="1"/>
    <s v="Internet-facing"/>
    <x v="0"/>
    <s v="Sales"/>
    <s v="Gabriela Souza"/>
    <d v="2026-08-15T00:00:00"/>
    <d v="2026-08-22T00:00:00"/>
    <x v="1"/>
    <m/>
    <x v="1"/>
    <n v="11"/>
    <x v="1"/>
  </r>
  <r>
    <x v="202"/>
    <s v="DAT-007"/>
    <s v="Database"/>
    <s v="Linux Kernel"/>
    <s v="CVE-2024-3094"/>
    <x v="6"/>
    <n v="10"/>
    <x v="166"/>
    <x v="0"/>
    <s v="Internal"/>
    <x v="2"/>
    <s v="Finance"/>
    <s v="Ana Costa"/>
    <d v="2026-08-25T00:00:00"/>
    <d v="2026-09-01T00:00:00"/>
    <x v="3"/>
    <d v="2026-09-19T00:00:00"/>
    <x v="0"/>
    <n v="9"/>
    <x v="1"/>
  </r>
  <r>
    <x v="203"/>
    <s v="WOR-120"/>
    <s v="Workstation"/>
    <s v="Jenkins"/>
    <s v="CVE-2026-2173"/>
    <x v="1"/>
    <n v="9.1999999999999993"/>
    <x v="83"/>
    <x v="1"/>
    <s v="Internet-facing"/>
    <x v="2"/>
    <s v="Finance"/>
    <s v="Ana Costa"/>
    <d v="2026-08-22T00:00:00"/>
    <d v="2026-08-29T00:00:00"/>
    <x v="0"/>
    <m/>
    <x v="1"/>
    <n v="7"/>
    <x v="3"/>
  </r>
  <r>
    <x v="204"/>
    <s v="WOR-118"/>
    <s v="Workstation"/>
    <s v="Jenkins"/>
    <s v="CVE-2024-21413"/>
    <x v="0"/>
    <n v="9.8000000000000007"/>
    <x v="167"/>
    <x v="1"/>
    <s v="Internal"/>
    <x v="0"/>
    <s v="Finance"/>
    <s v="Ana Costa"/>
    <d v="2026-08-31T00:00:00"/>
    <d v="2026-09-07T00:00:00"/>
    <x v="1"/>
    <m/>
    <x v="0"/>
    <n v="8"/>
    <x v="1"/>
  </r>
  <r>
    <x v="205"/>
    <s v="WIN-033"/>
    <s v="Windows Server"/>
    <s v="OpenSSH"/>
    <s v="CVE-2025-3021"/>
    <x v="4"/>
    <n v="8.8000000000000007"/>
    <x v="168"/>
    <x v="1"/>
    <s v="Internet-facing"/>
    <x v="1"/>
    <s v="Finance"/>
    <s v="Bruno Lima"/>
    <d v="2026-09-05T00:00:00"/>
    <d v="2026-09-19T00:00:00"/>
    <x v="3"/>
    <d v="2026-10-10T00:00:00"/>
    <x v="1"/>
    <n v="6"/>
    <x v="1"/>
  </r>
  <r>
    <x v="206"/>
    <s v="WOR-031"/>
    <s v="Workstation"/>
    <s v="Apache HTTP Server"/>
    <s v="CVE-2025-7710"/>
    <x v="2"/>
    <n v="7.5"/>
    <x v="169"/>
    <x v="1"/>
    <s v="Internal"/>
    <x v="0"/>
    <s v="Finance"/>
    <s v="Bruno Lima"/>
    <d v="2026-08-04T00:00:00"/>
    <d v="2026-08-18T00:00:00"/>
    <x v="4"/>
    <m/>
    <x v="0"/>
    <n v="6"/>
    <x v="1"/>
  </r>
  <r>
    <x v="207"/>
    <s v="WIN-108"/>
    <s v="Windows Server"/>
    <s v="Windows Server"/>
    <s v="CVE-2024-21413"/>
    <x v="0"/>
    <n v="9.8000000000000007"/>
    <x v="170"/>
    <x v="0"/>
    <s v="Internal"/>
    <x v="0"/>
    <s v="Finance"/>
    <s v="Ana Costa"/>
    <d v="2026-09-10T00:00:00"/>
    <d v="2026-09-17T00:00:00"/>
    <x v="0"/>
    <m/>
    <x v="0"/>
    <n v="10"/>
    <x v="0"/>
  </r>
  <r>
    <x v="208"/>
    <s v="LIN-038"/>
    <s v="Linux Server"/>
    <s v="Microsoft Exchange"/>
    <s v="CVE-2024-3094"/>
    <x v="6"/>
    <n v="10"/>
    <x v="171"/>
    <x v="0"/>
    <s v="Restricted"/>
    <x v="1"/>
    <s v="IT"/>
    <s v="João Ribeiro"/>
    <d v="2026-08-16T00:00:00"/>
    <d v="2026-08-23T00:00:00"/>
    <x v="0"/>
    <m/>
    <x v="0"/>
    <n v="10"/>
    <x v="0"/>
  </r>
  <r>
    <x v="209"/>
    <s v="FIR-011"/>
    <s v="Firewall"/>
    <s v="FortiOS"/>
    <s v="CVE-2023-34362"/>
    <x v="3"/>
    <n v="9.8000000000000007"/>
    <x v="172"/>
    <x v="1"/>
    <s v="Internal"/>
    <x v="0"/>
    <s v="IT"/>
    <s v="João Ribeiro"/>
    <d v="2026-08-05T00:00:00"/>
    <d v="2026-08-12T00:00:00"/>
    <x v="3"/>
    <d v="2026-09-08T00:00:00"/>
    <x v="0"/>
    <n v="7"/>
    <x v="1"/>
  </r>
  <r>
    <x v="210"/>
    <s v="DAT-006"/>
    <s v="Database"/>
    <s v="GitLab"/>
    <s v="CVE-2022-30190"/>
    <x v="0"/>
    <n v="7.8"/>
    <x v="173"/>
    <x v="1"/>
    <s v="Restricted"/>
    <x v="0"/>
    <s v="Sales"/>
    <s v="Felipe Martins"/>
    <d v="2026-08-24T00:00:00"/>
    <d v="2026-09-07T00:00:00"/>
    <x v="1"/>
    <m/>
    <x v="0"/>
    <n v="5"/>
    <x v="1"/>
  </r>
  <r>
    <x v="211"/>
    <s v="WIN-045"/>
    <s v="Windows Server"/>
    <s v="Jenkins"/>
    <s v="CVE-2025-3021"/>
    <x v="4"/>
    <n v="8.6"/>
    <x v="113"/>
    <x v="1"/>
    <s v="Internal"/>
    <x v="0"/>
    <s v="HR"/>
    <s v="Elisa Rocha"/>
    <d v="2026-09-10T00:00:00"/>
    <d v="2026-09-21T00:00:00"/>
    <x v="0"/>
    <m/>
    <x v="0"/>
    <n v="6"/>
    <x v="2"/>
  </r>
  <r>
    <x v="212"/>
    <s v="WOR-070"/>
    <s v="Workstation"/>
    <s v="VMware ESXi"/>
    <s v="CVE-2024-6387"/>
    <x v="0"/>
    <n v="8.1"/>
    <x v="174"/>
    <x v="0"/>
    <s v="Internal"/>
    <x v="0"/>
    <s v="Finance"/>
    <s v="Ana Costa"/>
    <d v="2026-08-30T00:00:00"/>
    <d v="2026-09-13T00:00:00"/>
    <x v="3"/>
    <d v="2026-10-01T00:00:00"/>
    <x v="0"/>
    <n v="9"/>
    <x v="1"/>
  </r>
  <r>
    <x v="213"/>
    <s v="LIN-009"/>
    <s v="Linux Server"/>
    <s v="Confluence"/>
    <s v="CVE-2021-44228"/>
    <x v="0"/>
    <n v="10"/>
    <x v="175"/>
    <x v="0"/>
    <s v="Internal"/>
    <x v="2"/>
    <s v="Legal"/>
    <s v="Marcos Teixeira"/>
    <d v="2026-08-13T00:00:00"/>
    <d v="2026-08-18T00:00:00"/>
    <x v="3"/>
    <d v="2026-08-17T00:00:00"/>
    <x v="0"/>
    <n v="11"/>
    <x v="1"/>
  </r>
  <r>
    <x v="214"/>
    <s v="WEB-051"/>
    <s v="Web Server"/>
    <s v="Confluence"/>
    <s v="CVE-2023-34362"/>
    <x v="3"/>
    <n v="9.8000000000000007"/>
    <x v="151"/>
    <x v="1"/>
    <s v="Restricted"/>
    <x v="0"/>
    <s v="HR"/>
    <s v="Elisa Rocha"/>
    <d v="2026-08-17T00:00:00"/>
    <d v="2026-08-22T00:00:00"/>
    <x v="1"/>
    <m/>
    <x v="0"/>
    <n v="8"/>
    <x v="1"/>
  </r>
  <r>
    <x v="215"/>
    <s v="WIN-111"/>
    <s v="Windows Server"/>
    <s v="FortiOS"/>
    <s v="CVE-2022-30190"/>
    <x v="0"/>
    <n v="8.1999999999999993"/>
    <x v="128"/>
    <x v="1"/>
    <s v="Internet-facing"/>
    <x v="0"/>
    <s v="HR"/>
    <s v="Elisa Rocha"/>
    <d v="2026-08-18T00:00:00"/>
    <d v="2026-08-29T00:00:00"/>
    <x v="0"/>
    <m/>
    <x v="1"/>
    <n v="7"/>
    <x v="3"/>
  </r>
  <r>
    <x v="216"/>
    <s v="FIR-057"/>
    <s v="Firewall"/>
    <s v="FortiOS"/>
    <s v="CVE-2024-3094"/>
    <x v="6"/>
    <n v="10"/>
    <x v="176"/>
    <x v="1"/>
    <s v="Internal"/>
    <x v="0"/>
    <s v="Sales"/>
    <s v="Gabriela Souza"/>
    <d v="2026-09-01T00:00:00"/>
    <d v="2026-09-08T00:00:00"/>
    <x v="0"/>
    <m/>
    <x v="0"/>
    <n v="10"/>
    <x v="0"/>
  </r>
  <r>
    <x v="217"/>
    <s v="WEB-035"/>
    <s v="Web Server"/>
    <s v="Jenkins"/>
    <s v="CVE-2026-2173"/>
    <x v="1"/>
    <n v="8.8000000000000007"/>
    <x v="55"/>
    <x v="1"/>
    <s v="Internal"/>
    <x v="1"/>
    <s v="Legal"/>
    <s v="Marcos Teixeira"/>
    <d v="2026-08-28T00:00:00"/>
    <d v="2026-09-09T00:00:00"/>
    <x v="0"/>
    <m/>
    <x v="0"/>
    <n v="5"/>
    <x v="2"/>
  </r>
  <r>
    <x v="218"/>
    <s v="WIN-011"/>
    <s v="Windows Server"/>
    <s v="VMware ESXi"/>
    <s v="CVE-2024-6387"/>
    <x v="0"/>
    <n v="8.1"/>
    <x v="177"/>
    <x v="0"/>
    <s v="Internal"/>
    <x v="0"/>
    <s v="HR"/>
    <s v="Elisa Rocha"/>
    <d v="2026-08-29T00:00:00"/>
    <d v="2026-09-12T00:00:00"/>
    <x v="4"/>
    <m/>
    <x v="0"/>
    <n v="9"/>
    <x v="1"/>
  </r>
  <r>
    <x v="219"/>
    <s v="FIR-057"/>
    <s v="Firewall"/>
    <s v="Confluence"/>
    <s v="CVE-2024-6387"/>
    <x v="0"/>
    <n v="8.1"/>
    <x v="178"/>
    <x v="0"/>
    <s v="Internal"/>
    <x v="1"/>
    <s v="Engineering"/>
    <s v="Diego Alves"/>
    <d v="2026-08-23T00:00:00"/>
    <d v="2026-09-06T00:00:00"/>
    <x v="0"/>
    <m/>
    <x v="0"/>
    <n v="9"/>
    <x v="3"/>
  </r>
  <r>
    <x v="220"/>
    <s v="FIR-102"/>
    <s v="Firewall"/>
    <s v="Apache HTTP Server"/>
    <s v="CVE-2026-1847"/>
    <x v="0"/>
    <n v="9.8000000000000007"/>
    <x v="179"/>
    <x v="1"/>
    <s v="Internal"/>
    <x v="1"/>
    <s v="HR"/>
    <s v="Elisa Rocha"/>
    <d v="2026-09-10T00:00:00"/>
    <d v="2026-09-17T00:00:00"/>
    <x v="2"/>
    <d v="2026-10-14T00:00:00"/>
    <x v="0"/>
    <n v="7"/>
    <x v="1"/>
  </r>
  <r>
    <x v="221"/>
    <s v="LIN-109"/>
    <s v="Linux Server"/>
    <s v="VMware ESXi"/>
    <s v="CVE-2023-23397"/>
    <x v="1"/>
    <n v="9.8000000000000007"/>
    <x v="180"/>
    <x v="1"/>
    <s v="Internet-facing"/>
    <x v="1"/>
    <s v="Finance"/>
    <s v="Bruno Lima"/>
    <d v="2026-08-03T00:00:00"/>
    <d v="2026-08-08T00:00:00"/>
    <x v="2"/>
    <d v="2026-08-28T00:00:00"/>
    <x v="1"/>
    <n v="9"/>
    <x v="1"/>
  </r>
  <r>
    <x v="222"/>
    <s v="WEB-005"/>
    <s v="Web Server"/>
    <s v="OpenSSH"/>
    <s v="CVE-2023-23397"/>
    <x v="1"/>
    <n v="9.8000000000000007"/>
    <x v="181"/>
    <x v="1"/>
    <s v="Internal"/>
    <x v="0"/>
    <s v="Sales"/>
    <s v="Felipe Martins"/>
    <d v="2026-08-24T00:00:00"/>
    <d v="2026-08-31T00:00:00"/>
    <x v="0"/>
    <m/>
    <x v="0"/>
    <n v="8"/>
    <x v="3"/>
  </r>
  <r>
    <x v="223"/>
    <s v="LIN-068"/>
    <s v="Linux Server"/>
    <s v="GitLab"/>
    <s v="CVE-2024-6387"/>
    <x v="0"/>
    <n v="8.1"/>
    <x v="182"/>
    <x v="0"/>
    <s v="Internal"/>
    <x v="0"/>
    <s v="Operations"/>
    <s v="Henrique Dias"/>
    <d v="2026-08-18T00:00:00"/>
    <d v="2026-09-01T00:00:00"/>
    <x v="0"/>
    <m/>
    <x v="0"/>
    <n v="10"/>
    <x v="0"/>
  </r>
  <r>
    <x v="224"/>
    <s v="FIR-024"/>
    <s v="Firewall"/>
    <s v="Linux Kernel"/>
    <s v="CVE-2024-21413"/>
    <x v="0"/>
    <n v="9.8000000000000007"/>
    <x v="183"/>
    <x v="0"/>
    <s v="Restricted"/>
    <x v="0"/>
    <s v="Finance"/>
    <s v="Ana Costa"/>
    <d v="2026-09-05T00:00:00"/>
    <d v="2026-09-09T00:00:00"/>
    <x v="3"/>
    <d v="2026-10-05T00:00:00"/>
    <x v="0"/>
    <n v="12"/>
    <x v="1"/>
  </r>
  <r>
    <x v="225"/>
    <s v="WOR-089"/>
    <s v="Workstation"/>
    <s v="PostgreSQL"/>
    <s v="CVE-2024-21413"/>
    <x v="0"/>
    <n v="9.8000000000000007"/>
    <x v="55"/>
    <x v="0"/>
    <s v="Restricted"/>
    <x v="0"/>
    <s v="Operations"/>
    <s v="Isabela Nunes"/>
    <d v="2026-08-05T00:00:00"/>
    <d v="2026-08-12T00:00:00"/>
    <x v="0"/>
    <m/>
    <x v="0"/>
    <n v="11"/>
    <x v="0"/>
  </r>
  <r>
    <x v="226"/>
    <s v="FIR-109"/>
    <s v="Firewall"/>
    <s v="VMware ESXi"/>
    <s v="CVE-2024-6387"/>
    <x v="0"/>
    <n v="8.1"/>
    <x v="89"/>
    <x v="0"/>
    <s v="Internal"/>
    <x v="1"/>
    <s v="Finance"/>
    <s v="Bruno Lima"/>
    <d v="2026-08-05T00:00:00"/>
    <d v="2026-08-19T00:00:00"/>
    <x v="0"/>
    <m/>
    <x v="0"/>
    <n v="8"/>
    <x v="3"/>
  </r>
  <r>
    <x v="227"/>
    <s v="LIN-092"/>
    <s v="Linux Server"/>
    <s v="Jenkins"/>
    <s v="CVE-2021-44228"/>
    <x v="0"/>
    <n v="10"/>
    <x v="184"/>
    <x v="0"/>
    <s v="Restricted"/>
    <x v="0"/>
    <s v="HR"/>
    <s v="Elisa Rocha"/>
    <d v="2026-08-24T00:00:00"/>
    <d v="2026-08-31T00:00:00"/>
    <x v="0"/>
    <m/>
    <x v="0"/>
    <n v="12"/>
    <x v="0"/>
  </r>
  <r>
    <x v="228"/>
    <s v="LIN-031"/>
    <s v="Linux Server"/>
    <s v="Microsoft Exchange"/>
    <s v="CVE-2024-21413"/>
    <x v="0"/>
    <n v="10"/>
    <x v="185"/>
    <x v="0"/>
    <s v="Internet-facing"/>
    <x v="0"/>
    <s v="Engineering"/>
    <s v="Carla Mendes"/>
    <d v="2026-09-06T00:00:00"/>
    <d v="2026-09-13T00:00:00"/>
    <x v="4"/>
    <m/>
    <x v="1"/>
    <n v="13"/>
    <x v="1"/>
  </r>
  <r>
    <x v="229"/>
    <s v="WIN-009"/>
    <s v="Windows Server"/>
    <s v="GitLab"/>
    <s v="CVE-2025-7710"/>
    <x v="2"/>
    <n v="7.5"/>
    <x v="186"/>
    <x v="1"/>
    <s v="Internal"/>
    <x v="2"/>
    <s v="Operations"/>
    <s v="Isabela Nunes"/>
    <d v="2026-08-31T00:00:00"/>
    <d v="2026-09-14T00:00:00"/>
    <x v="0"/>
    <m/>
    <x v="0"/>
    <n v="3"/>
    <x v="2"/>
  </r>
  <r>
    <x v="230"/>
    <s v="WEB-010"/>
    <s v="Web Server"/>
    <s v="FortiOS"/>
    <s v="CVE-2025-4912"/>
    <x v="5"/>
    <n v="9.1"/>
    <x v="187"/>
    <x v="1"/>
    <s v="Internet-facing"/>
    <x v="0"/>
    <s v="Legal"/>
    <s v="Marcos Teixeira"/>
    <d v="2026-08-05T00:00:00"/>
    <d v="2026-08-12T00:00:00"/>
    <x v="2"/>
    <d v="2026-09-09T00:00:00"/>
    <x v="1"/>
    <n v="8"/>
    <x v="1"/>
  </r>
  <r>
    <x v="231"/>
    <s v="WEB-082"/>
    <s v="Web Server"/>
    <s v="OpenSSH"/>
    <s v="CVE-2023-23397"/>
    <x v="1"/>
    <n v="9.8000000000000007"/>
    <x v="188"/>
    <x v="1"/>
    <s v="Restricted"/>
    <x v="0"/>
    <s v="Engineering"/>
    <s v="Carla Mendes"/>
    <d v="2026-08-09T00:00:00"/>
    <d v="2026-08-16T00:00:00"/>
    <x v="0"/>
    <m/>
    <x v="0"/>
    <n v="7"/>
    <x v="3"/>
  </r>
  <r>
    <x v="232"/>
    <s v="WIN-067"/>
    <s v="Windows Server"/>
    <s v="Microsoft SQL Server"/>
    <s v="CVE-2025-4912"/>
    <x v="5"/>
    <n v="9.1"/>
    <x v="189"/>
    <x v="1"/>
    <s v="Internal"/>
    <x v="1"/>
    <s v="Legal"/>
    <s v="Marcos Teixeira"/>
    <d v="2026-08-11T00:00:00"/>
    <d v="2026-08-16T00:00:00"/>
    <x v="3"/>
    <d v="2026-09-04T00:00:00"/>
    <x v="0"/>
    <n v="6"/>
    <x v="1"/>
  </r>
  <r>
    <x v="233"/>
    <s v="WIN-033"/>
    <s v="Windows Server"/>
    <s v="VMware ESXi"/>
    <s v="CVE-2025-3021"/>
    <x v="4"/>
    <n v="8.6"/>
    <x v="190"/>
    <x v="1"/>
    <s v="Internal"/>
    <x v="0"/>
    <s v="Legal"/>
    <s v="Marcos Teixeira"/>
    <d v="2026-09-05T00:00:00"/>
    <d v="2026-09-19T00:00:00"/>
    <x v="1"/>
    <m/>
    <x v="0"/>
    <n v="6"/>
    <x v="1"/>
  </r>
  <r>
    <x v="234"/>
    <s v="WEB-012"/>
    <s v="Web Server"/>
    <s v="VMware ESXi"/>
    <s v="CVE-2023-34362"/>
    <x v="3"/>
    <n v="10"/>
    <x v="1"/>
    <x v="1"/>
    <s v="Internet-facing"/>
    <x v="0"/>
    <s v="Operations"/>
    <s v="Henrique Dias"/>
    <d v="2026-08-11T00:00:00"/>
    <d v="2026-08-18T00:00:00"/>
    <x v="1"/>
    <m/>
    <x v="1"/>
    <n v="10"/>
    <x v="1"/>
  </r>
  <r>
    <x v="235"/>
    <s v="FIR-080"/>
    <s v="Firewall"/>
    <s v="Windows Server"/>
    <s v="CVE-2021-44228"/>
    <x v="0"/>
    <n v="10"/>
    <x v="1"/>
    <x v="0"/>
    <s v="Internal"/>
    <x v="0"/>
    <s v="Engineering"/>
    <s v="Carla Mendes"/>
    <d v="2026-09-06T00:00:00"/>
    <d v="2026-09-12T00:00:00"/>
    <x v="3"/>
    <d v="2026-09-13T00:00:00"/>
    <x v="0"/>
    <n v="11"/>
    <x v="1"/>
  </r>
  <r>
    <x v="236"/>
    <s v="WEB-034"/>
    <s v="Web Server"/>
    <s v="PostgreSQL"/>
    <s v="CVE-2022-30190"/>
    <x v="0"/>
    <n v="7.8"/>
    <x v="191"/>
    <x v="1"/>
    <s v="Internal"/>
    <x v="2"/>
    <s v="IT"/>
    <s v="Larissa Freitas"/>
    <d v="2026-09-06T00:00:00"/>
    <d v="2026-09-20T00:00:00"/>
    <x v="3"/>
    <d v="2026-09-09T00:00:00"/>
    <x v="0"/>
    <n v="3"/>
    <x v="1"/>
  </r>
  <r>
    <x v="237"/>
    <s v="WEB-038"/>
    <s v="Web Server"/>
    <s v="Microsoft SQL Server"/>
    <s v="CVE-2022-30190"/>
    <x v="0"/>
    <n v="7.8"/>
    <x v="192"/>
    <x v="1"/>
    <s v="Internet-facing"/>
    <x v="0"/>
    <s v="IT"/>
    <s v="Larissa Freitas"/>
    <d v="2026-08-31T00:00:00"/>
    <d v="2026-09-14T00:00:00"/>
    <x v="0"/>
    <m/>
    <x v="1"/>
    <n v="7"/>
    <x v="3"/>
  </r>
  <r>
    <x v="238"/>
    <s v="DAT-010"/>
    <s v="Database"/>
    <s v="Microsoft Exchange"/>
    <s v="CVE-2021-44228"/>
    <x v="0"/>
    <n v="10"/>
    <x v="164"/>
    <x v="0"/>
    <s v="Internal"/>
    <x v="0"/>
    <s v="HR"/>
    <s v="Elisa Rocha"/>
    <d v="2026-08-27T00:00:00"/>
    <d v="2026-09-03T00:00:00"/>
    <x v="0"/>
    <m/>
    <x v="0"/>
    <n v="12"/>
    <x v="0"/>
  </r>
  <r>
    <x v="239"/>
    <s v="WEB-019"/>
    <s v="Web Server"/>
    <s v="Jenkins"/>
    <s v="CVE-2024-6387"/>
    <x v="0"/>
    <n v="8.1"/>
    <x v="34"/>
    <x v="0"/>
    <s v="Internal"/>
    <x v="0"/>
    <s v="HR"/>
    <s v="Elisa Rocha"/>
    <d v="2026-08-23T00:00:00"/>
    <d v="2026-09-06T00:00:00"/>
    <x v="3"/>
    <d v="2026-09-02T00:00:00"/>
    <x v="0"/>
    <n v="8"/>
    <x v="1"/>
  </r>
  <r>
    <x v="240"/>
    <s v="WEB-014"/>
    <s v="Web Server"/>
    <s v="PostgreSQL"/>
    <s v="CVE-2024-6387"/>
    <x v="0"/>
    <n v="8.1"/>
    <x v="163"/>
    <x v="0"/>
    <s v="Restricted"/>
    <x v="2"/>
    <s v="Operations"/>
    <s v="Henrique Dias"/>
    <d v="2026-08-18T00:00:00"/>
    <d v="2026-09-01T00:00:00"/>
    <x v="0"/>
    <m/>
    <x v="0"/>
    <n v="6"/>
    <x v="2"/>
  </r>
  <r>
    <x v="241"/>
    <s v="WIN-038"/>
    <s v="Windows Server"/>
    <s v="Windows Server"/>
    <s v="CVE-2024-3094"/>
    <x v="6"/>
    <n v="10"/>
    <x v="63"/>
    <x v="0"/>
    <s v="Internal"/>
    <x v="2"/>
    <s v="Finance"/>
    <s v="Bruno Lima"/>
    <d v="2026-08-11T00:00:00"/>
    <d v="2026-08-18T00:00:00"/>
    <x v="1"/>
    <m/>
    <x v="0"/>
    <n v="10"/>
    <x v="1"/>
  </r>
  <r>
    <x v="242"/>
    <s v="LIN-064"/>
    <s v="Linux Server"/>
    <s v="Confluence"/>
    <s v="CVE-2023-34362"/>
    <x v="3"/>
    <n v="9.8000000000000007"/>
    <x v="136"/>
    <x v="1"/>
    <s v="Internal"/>
    <x v="1"/>
    <s v="Engineering"/>
    <s v="Carla Mendes"/>
    <d v="2026-09-01T00:00:00"/>
    <d v="2026-09-08T00:00:00"/>
    <x v="3"/>
    <d v="2026-10-04T00:00:00"/>
    <x v="0"/>
    <n v="7"/>
    <x v="1"/>
  </r>
  <r>
    <x v="243"/>
    <s v="DAT-065"/>
    <s v="Database"/>
    <s v="PostgreSQL"/>
    <s v="CVE-2024-21413"/>
    <x v="0"/>
    <n v="9.8000000000000007"/>
    <x v="119"/>
    <x v="0"/>
    <s v="Internal"/>
    <x v="0"/>
    <s v="Finance"/>
    <s v="Bruno Lima"/>
    <d v="2026-08-23T00:00:00"/>
    <d v="2026-08-27T00:00:00"/>
    <x v="0"/>
    <m/>
    <x v="0"/>
    <n v="11"/>
    <x v="0"/>
  </r>
  <r>
    <x v="244"/>
    <s v="FIR-087"/>
    <s v="Firewall"/>
    <s v="Microsoft SQL Server"/>
    <s v="CVE-2024-21413"/>
    <x v="0"/>
    <n v="9.8000000000000007"/>
    <x v="72"/>
    <x v="0"/>
    <s v="Internal"/>
    <x v="0"/>
    <s v="Operations"/>
    <s v="Isabela Nunes"/>
    <d v="2026-08-07T00:00:00"/>
    <d v="2026-08-14T00:00:00"/>
    <x v="1"/>
    <m/>
    <x v="0"/>
    <n v="11"/>
    <x v="1"/>
  </r>
  <r>
    <x v="245"/>
    <s v="WOR-098"/>
    <s v="Workstation"/>
    <s v="FortiOS"/>
    <s v="CVE-2024-3094"/>
    <x v="6"/>
    <n v="10"/>
    <x v="193"/>
    <x v="0"/>
    <s v="Internet-facing"/>
    <x v="2"/>
    <s v="IT"/>
    <s v="Larissa Freitas"/>
    <d v="2026-08-04T00:00:00"/>
    <d v="2026-08-11T00:00:00"/>
    <x v="2"/>
    <d v="2026-08-18T00:00:00"/>
    <x v="1"/>
    <n v="12"/>
    <x v="1"/>
  </r>
  <r>
    <x v="246"/>
    <s v="WOR-010"/>
    <s v="Workstation"/>
    <s v="Linux Kernel"/>
    <s v="CVE-2024-3094"/>
    <x v="6"/>
    <n v="10"/>
    <x v="194"/>
    <x v="0"/>
    <s v="Internal"/>
    <x v="0"/>
    <s v="Operations"/>
    <s v="Henrique Dias"/>
    <d v="2026-09-05T00:00:00"/>
    <d v="2026-09-12T00:00:00"/>
    <x v="2"/>
    <d v="2026-09-14T00:00:00"/>
    <x v="0"/>
    <n v="11"/>
    <x v="1"/>
  </r>
  <r>
    <x v="247"/>
    <s v="DAT-048"/>
    <s v="Database"/>
    <s v="Linux Kernel"/>
    <s v="CVE-2024-6387"/>
    <x v="0"/>
    <n v="8.1"/>
    <x v="4"/>
    <x v="1"/>
    <s v="Internal"/>
    <x v="2"/>
    <s v="Finance"/>
    <s v="Ana Costa"/>
    <d v="2026-08-10T00:00:00"/>
    <d v="2026-08-20T00:00:00"/>
    <x v="0"/>
    <m/>
    <x v="0"/>
    <n v="2"/>
    <x v="2"/>
  </r>
  <r>
    <x v="248"/>
    <s v="WIN-018"/>
    <s v="Windows Server"/>
    <s v="FortiOS"/>
    <s v="CVE-2021-44228"/>
    <x v="0"/>
    <n v="10"/>
    <x v="195"/>
    <x v="1"/>
    <s v="Internet-facing"/>
    <x v="0"/>
    <s v="Finance"/>
    <s v="Ana Costa"/>
    <d v="2026-09-03T00:00:00"/>
    <d v="2026-09-10T00:00:00"/>
    <x v="0"/>
    <m/>
    <x v="1"/>
    <n v="11"/>
    <x v="0"/>
  </r>
  <r>
    <x v="249"/>
    <s v="WEB-041"/>
    <s v="Web Server"/>
    <s v="GitLab"/>
    <s v="CVE-2025-4912"/>
    <x v="5"/>
    <n v="9.1"/>
    <x v="196"/>
    <x v="1"/>
    <s v="Internal"/>
    <x v="2"/>
    <s v="HR"/>
    <s v="Elisa Rocha"/>
    <d v="2026-09-09T00:00:00"/>
    <d v="2026-09-16T00:00:00"/>
    <x v="2"/>
    <d v="2026-09-30T00:00:00"/>
    <x v="0"/>
    <n v="5"/>
    <x v="1"/>
  </r>
  <r>
    <x v="250"/>
    <s v="WEB-069"/>
    <s v="Web Server"/>
    <s v="Jenkins"/>
    <s v="CVE-2024-21413"/>
    <x v="0"/>
    <n v="10"/>
    <x v="197"/>
    <x v="0"/>
    <s v="Internet-facing"/>
    <x v="1"/>
    <s v="Operations"/>
    <s v="Isabela Nunes"/>
    <d v="2026-08-31T00:00:00"/>
    <d v="2026-09-07T00:00:00"/>
    <x v="3"/>
    <d v="2026-09-25T00:00:00"/>
    <x v="1"/>
    <n v="12"/>
    <x v="1"/>
  </r>
  <r>
    <x v="251"/>
    <s v="WIN-054"/>
    <s v="Windows Server"/>
    <s v="Microsoft SQL Server"/>
    <s v="CVE-2023-23397"/>
    <x v="1"/>
    <n v="9.8000000000000007"/>
    <x v="198"/>
    <x v="1"/>
    <s v="Internal"/>
    <x v="0"/>
    <s v="IT"/>
    <s v="João Ribeiro"/>
    <d v="2026-09-10T00:00:00"/>
    <d v="2026-09-13T00:00:00"/>
    <x v="3"/>
    <d v="2026-09-28T00:00:00"/>
    <x v="0"/>
    <n v="8"/>
    <x v="1"/>
  </r>
  <r>
    <x v="252"/>
    <s v="WIN-075"/>
    <s v="Windows Server"/>
    <s v="OpenSSH"/>
    <s v="CVE-2024-21413"/>
    <x v="0"/>
    <n v="9.8000000000000007"/>
    <x v="199"/>
    <x v="0"/>
    <s v="Internet-facing"/>
    <x v="1"/>
    <s v="IT"/>
    <s v="Larissa Freitas"/>
    <d v="2026-09-09T00:00:00"/>
    <d v="2026-09-16T00:00:00"/>
    <x v="0"/>
    <m/>
    <x v="1"/>
    <n v="12"/>
    <x v="0"/>
  </r>
  <r>
    <x v="253"/>
    <s v="FIR-032"/>
    <s v="Firewall"/>
    <s v="Windows Server"/>
    <s v="CVE-2026-1847"/>
    <x v="0"/>
    <n v="9.8000000000000007"/>
    <x v="46"/>
    <x v="1"/>
    <s v="Restricted"/>
    <x v="1"/>
    <s v="Engineering"/>
    <s v="Diego Alves"/>
    <d v="2026-08-08T00:00:00"/>
    <d v="2026-08-11T00:00:00"/>
    <x v="0"/>
    <m/>
    <x v="0"/>
    <n v="7"/>
    <x v="3"/>
  </r>
  <r>
    <x v="254"/>
    <s v="LIN-053"/>
    <s v="Linux Server"/>
    <s v="PostgreSQL"/>
    <s v="CVE-2021-44228"/>
    <x v="0"/>
    <n v="10"/>
    <x v="200"/>
    <x v="0"/>
    <s v="Internet-facing"/>
    <x v="0"/>
    <s v="Sales"/>
    <s v="Felipe Martins"/>
    <d v="2026-09-09T00:00:00"/>
    <d v="2026-09-16T00:00:00"/>
    <x v="0"/>
    <m/>
    <x v="1"/>
    <n v="13"/>
    <x v="4"/>
  </r>
  <r>
    <x v="255"/>
    <s v="LIN-067"/>
    <s v="Linux Server"/>
    <s v="Linux Kernel"/>
    <s v="CVE-2025-3021"/>
    <x v="4"/>
    <n v="8.6"/>
    <x v="201"/>
    <x v="1"/>
    <s v="Internal"/>
    <x v="1"/>
    <s v="IT"/>
    <s v="Larissa Freitas"/>
    <d v="2026-08-21T00:00:00"/>
    <d v="2026-09-04T00:00:00"/>
    <x v="0"/>
    <m/>
    <x v="0"/>
    <n v="4"/>
    <x v="2"/>
  </r>
  <r>
    <x v="256"/>
    <s v="DAT-041"/>
    <s v="Database"/>
    <s v="Confluence"/>
    <s v="CVE-2025-4912"/>
    <x v="5"/>
    <n v="9.1"/>
    <x v="202"/>
    <x v="1"/>
    <s v="Internal"/>
    <x v="0"/>
    <s v="Operations"/>
    <s v="Isabela Nunes"/>
    <d v="2026-09-04T00:00:00"/>
    <d v="2026-09-11T00:00:00"/>
    <x v="4"/>
    <m/>
    <x v="0"/>
    <n v="7"/>
    <x v="1"/>
  </r>
  <r>
    <x v="257"/>
    <s v="FIR-088"/>
    <s v="Firewall"/>
    <s v="Jenkins"/>
    <s v="CVE-2022-30190"/>
    <x v="0"/>
    <n v="7.8"/>
    <x v="203"/>
    <x v="1"/>
    <s v="Restricted"/>
    <x v="2"/>
    <s v="IT"/>
    <s v="João Ribeiro"/>
    <d v="2026-08-17T00:00:00"/>
    <d v="2026-08-31T00:00:00"/>
    <x v="4"/>
    <m/>
    <x v="0"/>
    <n v="4"/>
    <x v="1"/>
  </r>
  <r>
    <x v="258"/>
    <s v="WOR-072"/>
    <s v="Workstation"/>
    <s v="PostgreSQL"/>
    <s v="CVE-2025-7710"/>
    <x v="2"/>
    <n v="7.5"/>
    <x v="204"/>
    <x v="1"/>
    <s v="Internal"/>
    <x v="0"/>
    <s v="Engineering"/>
    <s v="Carla Mendes"/>
    <d v="2026-08-20T00:00:00"/>
    <d v="2026-09-03T00:00:00"/>
    <x v="1"/>
    <m/>
    <x v="0"/>
    <n v="6"/>
    <x v="1"/>
  </r>
  <r>
    <x v="259"/>
    <s v="FIR-063"/>
    <s v="Firewall"/>
    <s v="Confluence"/>
    <s v="CVE-2024-6387"/>
    <x v="0"/>
    <n v="8.1"/>
    <x v="98"/>
    <x v="0"/>
    <s v="Internet-facing"/>
    <x v="0"/>
    <s v="IT"/>
    <s v="Larissa Freitas"/>
    <d v="2026-08-18T00:00:00"/>
    <d v="2026-09-01T00:00:00"/>
    <x v="1"/>
    <m/>
    <x v="1"/>
    <n v="10"/>
    <x v="1"/>
  </r>
  <r>
    <x v="260"/>
    <s v="WOR-099"/>
    <s v="Workstation"/>
    <s v="Microsoft SQL Server"/>
    <s v="CVE-2025-4912"/>
    <x v="5"/>
    <n v="9.5"/>
    <x v="29"/>
    <x v="1"/>
    <s v="Internet-facing"/>
    <x v="1"/>
    <s v="Sales"/>
    <s v="Felipe Martins"/>
    <d v="2026-08-03T00:00:00"/>
    <d v="2026-08-10T00:00:00"/>
    <x v="0"/>
    <m/>
    <x v="1"/>
    <n v="7"/>
    <x v="3"/>
  </r>
  <r>
    <x v="261"/>
    <s v="DAT-084"/>
    <s v="Database"/>
    <s v="Jenkins"/>
    <s v="CVE-2025-7710"/>
    <x v="2"/>
    <n v="7.5"/>
    <x v="26"/>
    <x v="1"/>
    <s v="Internal"/>
    <x v="0"/>
    <s v="HR"/>
    <s v="Elisa Rocha"/>
    <d v="2026-08-31T00:00:00"/>
    <d v="2026-09-11T00:00:00"/>
    <x v="1"/>
    <m/>
    <x v="0"/>
    <n v="6"/>
    <x v="1"/>
  </r>
  <r>
    <x v="262"/>
    <s v="WIN-079"/>
    <s v="Windows Server"/>
    <s v="Windows Server"/>
    <s v="CVE-2021-44228"/>
    <x v="0"/>
    <n v="10"/>
    <x v="205"/>
    <x v="0"/>
    <s v="Internet-facing"/>
    <x v="0"/>
    <s v="Engineering"/>
    <s v="Carla Mendes"/>
    <d v="2026-08-04T00:00:00"/>
    <d v="2026-08-11T00:00:00"/>
    <x v="1"/>
    <m/>
    <x v="1"/>
    <n v="14"/>
    <x v="1"/>
  </r>
  <r>
    <x v="263"/>
    <s v="LIN-007"/>
    <s v="Linux Server"/>
    <s v="GitLab"/>
    <s v="CVE-2026-2173"/>
    <x v="1"/>
    <n v="8.8000000000000007"/>
    <x v="206"/>
    <x v="1"/>
    <s v="Restricted"/>
    <x v="0"/>
    <s v="IT"/>
    <s v="João Ribeiro"/>
    <d v="2026-08-22T00:00:00"/>
    <d v="2026-09-05T00:00:00"/>
    <x v="0"/>
    <m/>
    <x v="0"/>
    <n v="6"/>
    <x v="2"/>
  </r>
  <r>
    <x v="264"/>
    <s v="LIN-001"/>
    <s v="Linux Server"/>
    <s v="OpenSSH"/>
    <s v="CVE-2023-34362"/>
    <x v="3"/>
    <n v="9.8000000000000007"/>
    <x v="207"/>
    <x v="1"/>
    <s v="Internet-facing"/>
    <x v="2"/>
    <s v="IT"/>
    <s v="Larissa Freitas"/>
    <d v="2026-08-27T00:00:00"/>
    <d v="2026-09-03T00:00:00"/>
    <x v="0"/>
    <m/>
    <x v="1"/>
    <n v="8"/>
    <x v="3"/>
  </r>
  <r>
    <x v="265"/>
    <s v="FIR-026"/>
    <s v="Firewall"/>
    <s v="FortiOS"/>
    <s v="CVE-2025-7710"/>
    <x v="2"/>
    <n v="7.5"/>
    <x v="138"/>
    <x v="1"/>
    <s v="Internal"/>
    <x v="0"/>
    <s v="Sales"/>
    <s v="Felipe Martins"/>
    <d v="2026-08-19T00:00:00"/>
    <d v="2026-09-02T00:00:00"/>
    <x v="1"/>
    <m/>
    <x v="0"/>
    <n v="5"/>
    <x v="1"/>
  </r>
  <r>
    <x v="266"/>
    <s v="WEB-030"/>
    <s v="Web Server"/>
    <s v="Jenkins"/>
    <s v="CVE-2023-34362"/>
    <x v="3"/>
    <n v="9.8000000000000007"/>
    <x v="13"/>
    <x v="1"/>
    <s v="Internal"/>
    <x v="1"/>
    <s v="IT"/>
    <s v="João Ribeiro"/>
    <d v="2026-08-03T00:00:00"/>
    <d v="2026-08-10T00:00:00"/>
    <x v="1"/>
    <m/>
    <x v="0"/>
    <n v="7"/>
    <x v="1"/>
  </r>
  <r>
    <x v="267"/>
    <s v="LIN-120"/>
    <s v="Linux Server"/>
    <s v="GitLab"/>
    <s v="CVE-2026-1847"/>
    <x v="0"/>
    <n v="9.8000000000000007"/>
    <x v="208"/>
    <x v="1"/>
    <s v="Internal"/>
    <x v="2"/>
    <s v="Sales"/>
    <s v="Felipe Martins"/>
    <d v="2026-09-01T00:00:00"/>
    <d v="2026-09-05T00:00:00"/>
    <x v="2"/>
    <d v="2026-09-05T00:00:00"/>
    <x v="0"/>
    <n v="6"/>
    <x v="1"/>
  </r>
  <r>
    <x v="268"/>
    <s v="WEB-078"/>
    <s v="Web Server"/>
    <s v="FortiOS"/>
    <s v="CVE-2026-2173"/>
    <x v="1"/>
    <n v="8.8000000000000007"/>
    <x v="209"/>
    <x v="1"/>
    <s v="Internal"/>
    <x v="1"/>
    <s v="HR"/>
    <s v="Elisa Rocha"/>
    <d v="2026-08-19T00:00:00"/>
    <d v="2026-09-02T00:00:00"/>
    <x v="1"/>
    <m/>
    <x v="0"/>
    <n v="5"/>
    <x v="1"/>
  </r>
  <r>
    <x v="269"/>
    <s v="WEB-060"/>
    <s v="Web Server"/>
    <s v="PostgreSQL"/>
    <s v="CVE-2025-7710"/>
    <x v="2"/>
    <n v="7.5"/>
    <x v="194"/>
    <x v="1"/>
    <s v="Internal"/>
    <x v="0"/>
    <s v="Engineering"/>
    <s v="Diego Alves"/>
    <d v="2026-08-08T00:00:00"/>
    <d v="2026-08-22T00:00:00"/>
    <x v="1"/>
    <m/>
    <x v="0"/>
    <n v="5"/>
    <x v="1"/>
  </r>
  <r>
    <x v="270"/>
    <s v="WOR-092"/>
    <s v="Workstation"/>
    <s v="Microsoft Exchange"/>
    <s v="CVE-2025-4912"/>
    <x v="5"/>
    <n v="9.1"/>
    <x v="191"/>
    <x v="1"/>
    <s v="Internal"/>
    <x v="1"/>
    <s v="IT"/>
    <s v="João Ribeiro"/>
    <d v="2026-08-22T00:00:00"/>
    <d v="2026-08-29T00:00:00"/>
    <x v="0"/>
    <m/>
    <x v="0"/>
    <n v="5"/>
    <x v="2"/>
  </r>
  <r>
    <x v="271"/>
    <s v="WEB-110"/>
    <s v="Web Server"/>
    <s v="GitLab"/>
    <s v="CVE-2022-30190"/>
    <x v="0"/>
    <n v="7.8"/>
    <x v="210"/>
    <x v="1"/>
    <s v="Internal"/>
    <x v="0"/>
    <s v="Engineering"/>
    <s v="Diego Alves"/>
    <d v="2026-08-28T00:00:00"/>
    <d v="2026-09-11T00:00:00"/>
    <x v="2"/>
    <d v="2026-09-04T00:00:00"/>
    <x v="0"/>
    <n v="7"/>
    <x v="1"/>
  </r>
  <r>
    <x v="272"/>
    <s v="WIN-024"/>
    <s v="Windows Server"/>
    <s v="Confluence"/>
    <s v="CVE-2025-4912"/>
    <x v="5"/>
    <n v="9.1"/>
    <x v="94"/>
    <x v="1"/>
    <s v="Restricted"/>
    <x v="0"/>
    <s v="IT"/>
    <s v="João Ribeiro"/>
    <d v="2026-08-21T00:00:00"/>
    <d v="2026-08-28T00:00:00"/>
    <x v="0"/>
    <m/>
    <x v="0"/>
    <n v="6"/>
    <x v="2"/>
  </r>
  <r>
    <x v="273"/>
    <s v="DAT-031"/>
    <s v="Database"/>
    <s v="Microsoft SQL Server"/>
    <s v="CVE-2024-21413"/>
    <x v="0"/>
    <n v="9.8000000000000007"/>
    <x v="211"/>
    <x v="1"/>
    <s v="Internal"/>
    <x v="1"/>
    <s v="HR"/>
    <s v="Elisa Rocha"/>
    <d v="2026-08-20T00:00:00"/>
    <d v="2026-08-27T00:00:00"/>
    <x v="0"/>
    <m/>
    <x v="0"/>
    <n v="8"/>
    <x v="3"/>
  </r>
  <r>
    <x v="274"/>
    <s v="FIR-047"/>
    <s v="Firewall"/>
    <s v="PostgreSQL"/>
    <s v="CVE-2021-44228"/>
    <x v="0"/>
    <n v="10"/>
    <x v="129"/>
    <x v="0"/>
    <s v="Internal"/>
    <x v="2"/>
    <s v="HR"/>
    <s v="Elisa Rocha"/>
    <d v="2026-08-08T00:00:00"/>
    <d v="2026-08-15T00:00:00"/>
    <x v="0"/>
    <m/>
    <x v="0"/>
    <n v="10"/>
    <x v="0"/>
  </r>
  <r>
    <x v="275"/>
    <s v="FIR-065"/>
    <s v="Firewall"/>
    <s v="Microsoft SQL Server"/>
    <s v="CVE-2021-44228"/>
    <x v="0"/>
    <n v="10"/>
    <x v="212"/>
    <x v="1"/>
    <s v="Internal"/>
    <x v="2"/>
    <s v="Sales"/>
    <s v="Gabriela Souza"/>
    <d v="2026-09-10T00:00:00"/>
    <d v="2026-09-17T00:00:00"/>
    <x v="4"/>
    <m/>
    <x v="0"/>
    <n v="5"/>
    <x v="1"/>
  </r>
  <r>
    <x v="276"/>
    <s v="WEB-029"/>
    <s v="Web Server"/>
    <s v="OpenSSH"/>
    <s v="CVE-2025-3021"/>
    <x v="4"/>
    <n v="9"/>
    <x v="213"/>
    <x v="1"/>
    <s v="Internet-facing"/>
    <x v="2"/>
    <s v="HR"/>
    <s v="Elisa Rocha"/>
    <d v="2026-08-31T00:00:00"/>
    <d v="2026-09-04T00:00:00"/>
    <x v="0"/>
    <m/>
    <x v="1"/>
    <n v="7"/>
    <x v="3"/>
  </r>
  <r>
    <x v="277"/>
    <s v="WEB-117"/>
    <s v="Web Server"/>
    <s v="Linux Kernel"/>
    <s v="CVE-2024-21413"/>
    <x v="0"/>
    <n v="9.8000000000000007"/>
    <x v="214"/>
    <x v="1"/>
    <s v="Restricted"/>
    <x v="2"/>
    <s v="IT"/>
    <s v="João Ribeiro"/>
    <d v="2026-08-14T00:00:00"/>
    <d v="2026-08-21T00:00:00"/>
    <x v="0"/>
    <m/>
    <x v="0"/>
    <n v="6"/>
    <x v="2"/>
  </r>
  <r>
    <x v="278"/>
    <s v="DAT-068"/>
    <s v="Database"/>
    <s v="FortiOS"/>
    <s v="CVE-2021-44228"/>
    <x v="0"/>
    <n v="10"/>
    <x v="215"/>
    <x v="0"/>
    <s v="Internal"/>
    <x v="1"/>
    <s v="Operations"/>
    <s v="Henrique Dias"/>
    <d v="2026-09-06T00:00:00"/>
    <d v="2026-09-11T00:00:00"/>
    <x v="0"/>
    <m/>
    <x v="0"/>
    <n v="11"/>
    <x v="0"/>
  </r>
  <r>
    <x v="279"/>
    <s v="WOR-110"/>
    <s v="Workstation"/>
    <s v="Confluence"/>
    <s v="CVE-2023-34362"/>
    <x v="3"/>
    <n v="9.8000000000000007"/>
    <x v="216"/>
    <x v="1"/>
    <s v="Internal"/>
    <x v="1"/>
    <s v="Engineering"/>
    <s v="Diego Alves"/>
    <d v="2026-08-08T00:00:00"/>
    <d v="2026-08-15T00:00:00"/>
    <x v="0"/>
    <m/>
    <x v="0"/>
    <n v="7"/>
    <x v="3"/>
  </r>
  <r>
    <x v="280"/>
    <s v="WEB-058"/>
    <s v="Web Server"/>
    <s v="Confluence"/>
    <s v="CVE-2026-1847"/>
    <x v="0"/>
    <n v="9.8000000000000007"/>
    <x v="155"/>
    <x v="1"/>
    <s v="Internal"/>
    <x v="0"/>
    <s v="Finance"/>
    <s v="Bruno Lima"/>
    <d v="2026-08-09T00:00:00"/>
    <d v="2026-08-16T00:00:00"/>
    <x v="0"/>
    <m/>
    <x v="0"/>
    <n v="7"/>
    <x v="3"/>
  </r>
  <r>
    <x v="281"/>
    <s v="WIN-072"/>
    <s v="Windows Server"/>
    <s v="VMware ESXi"/>
    <s v="CVE-2024-21413"/>
    <x v="0"/>
    <n v="9.8000000000000007"/>
    <x v="217"/>
    <x v="1"/>
    <s v="Internet-facing"/>
    <x v="1"/>
    <s v="Operations"/>
    <s v="Henrique Dias"/>
    <d v="2026-08-02T00:00:00"/>
    <d v="2026-08-09T00:00:00"/>
    <x v="0"/>
    <m/>
    <x v="1"/>
    <n v="9"/>
    <x v="3"/>
  </r>
  <r>
    <x v="282"/>
    <s v="LIN-075"/>
    <s v="Linux Server"/>
    <s v="Microsoft Exchange"/>
    <s v="CVE-2026-2173"/>
    <x v="1"/>
    <n v="8.8000000000000007"/>
    <x v="218"/>
    <x v="1"/>
    <s v="Internal"/>
    <x v="1"/>
    <s v="IT"/>
    <s v="João Ribeiro"/>
    <d v="2026-08-28T00:00:00"/>
    <d v="2026-09-11T00:00:00"/>
    <x v="0"/>
    <m/>
    <x v="0"/>
    <n v="5"/>
    <x v="2"/>
  </r>
  <r>
    <x v="283"/>
    <s v="WIN-120"/>
    <s v="Windows Server"/>
    <s v="Confluence"/>
    <s v="CVE-2026-2173"/>
    <x v="1"/>
    <n v="8.8000000000000007"/>
    <x v="219"/>
    <x v="1"/>
    <s v="Internal"/>
    <x v="2"/>
    <s v="Operations"/>
    <s v="Henrique Dias"/>
    <d v="2026-08-03T00:00:00"/>
    <d v="2026-08-17T00:00:00"/>
    <x v="0"/>
    <m/>
    <x v="0"/>
    <n v="4"/>
    <x v="2"/>
  </r>
  <r>
    <x v="284"/>
    <s v="LIN-099"/>
    <s v="Linux Server"/>
    <s v="Jenkins"/>
    <s v="CVE-2022-30190"/>
    <x v="0"/>
    <n v="7.8"/>
    <x v="220"/>
    <x v="1"/>
    <s v="Internal"/>
    <x v="2"/>
    <s v="Legal"/>
    <s v="Marcos Teixeira"/>
    <d v="2026-08-27T00:00:00"/>
    <d v="2026-09-10T00:00:00"/>
    <x v="3"/>
    <d v="2026-09-22T00:00:00"/>
    <x v="0"/>
    <n v="5"/>
    <x v="1"/>
  </r>
  <r>
    <x v="285"/>
    <s v="DAT-049"/>
    <s v="Database"/>
    <s v="VMware ESXi"/>
    <s v="CVE-2026-2173"/>
    <x v="1"/>
    <n v="8.8000000000000007"/>
    <x v="144"/>
    <x v="1"/>
    <s v="Internal"/>
    <x v="2"/>
    <s v="Legal"/>
    <s v="Marcos Teixeira"/>
    <d v="2026-09-04T00:00:00"/>
    <d v="2026-09-15T00:00:00"/>
    <x v="1"/>
    <m/>
    <x v="0"/>
    <n v="4"/>
    <x v="1"/>
  </r>
  <r>
    <x v="286"/>
    <s v="WEB-051"/>
    <s v="Web Server"/>
    <s v="OpenSSH"/>
    <s v="CVE-2023-34362"/>
    <x v="3"/>
    <n v="9.8000000000000007"/>
    <x v="221"/>
    <x v="1"/>
    <s v="Restricted"/>
    <x v="1"/>
    <s v="Engineering"/>
    <s v="Carla Mendes"/>
    <d v="2026-08-15T00:00:00"/>
    <d v="2026-08-22T00:00:00"/>
    <x v="0"/>
    <m/>
    <x v="0"/>
    <n v="6"/>
    <x v="2"/>
  </r>
  <r>
    <x v="287"/>
    <s v="DAT-087"/>
    <s v="Database"/>
    <s v="Linux Kernel"/>
    <s v="CVE-2021-44228"/>
    <x v="0"/>
    <n v="10"/>
    <x v="222"/>
    <x v="0"/>
    <s v="Restricted"/>
    <x v="0"/>
    <s v="HR"/>
    <s v="Elisa Rocha"/>
    <d v="2026-08-25T00:00:00"/>
    <d v="2026-09-01T00:00:00"/>
    <x v="1"/>
    <m/>
    <x v="0"/>
    <n v="12"/>
    <x v="1"/>
  </r>
  <r>
    <x v="288"/>
    <s v="WOR-020"/>
    <s v="Workstation"/>
    <s v="PostgreSQL"/>
    <s v="CVE-2025-7710"/>
    <x v="2"/>
    <n v="7.5"/>
    <x v="223"/>
    <x v="1"/>
    <s v="Internal"/>
    <x v="0"/>
    <s v="Sales"/>
    <s v="Felipe Martins"/>
    <d v="2026-08-08T00:00:00"/>
    <d v="2026-08-18T00:00:00"/>
    <x v="0"/>
    <m/>
    <x v="0"/>
    <n v="7"/>
    <x v="3"/>
  </r>
  <r>
    <x v="289"/>
    <s v="LIN-009"/>
    <s v="Linux Server"/>
    <s v="Windows Server"/>
    <s v="CVE-2026-2173"/>
    <x v="1"/>
    <n v="8.8000000000000007"/>
    <x v="142"/>
    <x v="1"/>
    <s v="Internal"/>
    <x v="2"/>
    <s v="Engineering"/>
    <s v="Carla Mendes"/>
    <d v="2026-08-03T00:00:00"/>
    <d v="2026-08-17T00:00:00"/>
    <x v="0"/>
    <m/>
    <x v="0"/>
    <n v="4"/>
    <x v="2"/>
  </r>
  <r>
    <x v="290"/>
    <s v="FIR-006"/>
    <s v="Firewall"/>
    <s v="Confluence"/>
    <s v="CVE-2024-3094"/>
    <x v="6"/>
    <n v="10"/>
    <x v="136"/>
    <x v="0"/>
    <s v="Internal"/>
    <x v="0"/>
    <s v="Engineering"/>
    <s v="Carla Mendes"/>
    <d v="2026-08-14T00:00:00"/>
    <d v="2026-08-21T00:00:00"/>
    <x v="1"/>
    <m/>
    <x v="0"/>
    <n v="12"/>
    <x v="1"/>
  </r>
  <r>
    <x v="291"/>
    <s v="WEB-038"/>
    <s v="Web Server"/>
    <s v="Jenkins"/>
    <s v="CVE-2025-3021"/>
    <x v="4"/>
    <n v="8.6"/>
    <x v="134"/>
    <x v="1"/>
    <s v="Internet-facing"/>
    <x v="2"/>
    <s v="Engineering"/>
    <s v="Diego Alves"/>
    <d v="2026-09-06T00:00:00"/>
    <d v="2026-09-20T00:00:00"/>
    <x v="0"/>
    <m/>
    <x v="1"/>
    <n v="6"/>
    <x v="2"/>
  </r>
  <r>
    <x v="292"/>
    <s v="WOR-113"/>
    <s v="Workstation"/>
    <s v="VMware ESXi"/>
    <s v="CVE-2025-4912"/>
    <x v="5"/>
    <n v="9.1"/>
    <x v="224"/>
    <x v="1"/>
    <s v="Internal"/>
    <x v="0"/>
    <s v="Engineering"/>
    <s v="Diego Alves"/>
    <d v="2026-09-03T00:00:00"/>
    <d v="2026-09-10T00:00:00"/>
    <x v="3"/>
    <d v="2026-09-24T00:00:00"/>
    <x v="0"/>
    <n v="5"/>
    <x v="1"/>
  </r>
  <r>
    <x v="293"/>
    <s v="WEB-076"/>
    <s v="Web Server"/>
    <s v="OpenSSH"/>
    <s v="CVE-2021-44228"/>
    <x v="0"/>
    <n v="10"/>
    <x v="225"/>
    <x v="0"/>
    <s v="Internal"/>
    <x v="1"/>
    <s v="Finance"/>
    <s v="Ana Costa"/>
    <d v="2026-08-28T00:00:00"/>
    <d v="2026-09-04T00:00:00"/>
    <x v="0"/>
    <m/>
    <x v="0"/>
    <n v="11"/>
    <x v="0"/>
  </r>
  <r>
    <x v="294"/>
    <s v="FIR-086"/>
    <s v="Firewall"/>
    <s v="Linux Kernel"/>
    <s v="CVE-2024-3094"/>
    <x v="6"/>
    <n v="10"/>
    <x v="226"/>
    <x v="0"/>
    <s v="Internal"/>
    <x v="0"/>
    <s v="HR"/>
    <s v="Elisa Rocha"/>
    <d v="2026-08-27T00:00:00"/>
    <d v="2026-09-03T00:00:00"/>
    <x v="1"/>
    <m/>
    <x v="0"/>
    <n v="11"/>
    <x v="1"/>
  </r>
  <r>
    <x v="295"/>
    <s v="LIN-097"/>
    <s v="Linux Server"/>
    <s v="Confluence"/>
    <s v="CVE-2023-34362"/>
    <x v="3"/>
    <n v="9.8000000000000007"/>
    <x v="96"/>
    <x v="1"/>
    <s v="Internal"/>
    <x v="0"/>
    <s v="Sales"/>
    <s v="Gabriela Souza"/>
    <d v="2026-08-16T00:00:00"/>
    <d v="2026-08-23T00:00:00"/>
    <x v="0"/>
    <m/>
    <x v="0"/>
    <n v="8"/>
    <x v="3"/>
  </r>
  <r>
    <x v="296"/>
    <s v="FIR-019"/>
    <s v="Firewall"/>
    <s v="Microsoft Exchange"/>
    <s v="CVE-2024-21413"/>
    <x v="0"/>
    <n v="9.8000000000000007"/>
    <x v="227"/>
    <x v="0"/>
    <s v="Restricted"/>
    <x v="2"/>
    <s v="Legal"/>
    <s v="Marcos Teixeira"/>
    <d v="2026-08-27T00:00:00"/>
    <d v="2026-09-03T00:00:00"/>
    <x v="2"/>
    <d v="2026-09-06T00:00:00"/>
    <x v="0"/>
    <n v="8"/>
    <x v="1"/>
  </r>
  <r>
    <x v="297"/>
    <s v="WOR-027"/>
    <s v="Workstation"/>
    <s v="VMware ESXi"/>
    <s v="CVE-2024-6387"/>
    <x v="0"/>
    <n v="8.1"/>
    <x v="228"/>
    <x v="0"/>
    <s v="Internal"/>
    <x v="1"/>
    <s v="Engineering"/>
    <s v="Carla Mendes"/>
    <d v="2026-08-29T00:00:00"/>
    <d v="2026-09-12T00:00:00"/>
    <x v="2"/>
    <d v="2026-09-05T00:00:00"/>
    <x v="0"/>
    <n v="7"/>
    <x v="1"/>
  </r>
  <r>
    <x v="298"/>
    <s v="WOR-049"/>
    <s v="Workstation"/>
    <s v="Windows Server"/>
    <s v="CVE-2022-30190"/>
    <x v="0"/>
    <n v="8"/>
    <x v="134"/>
    <x v="1"/>
    <s v="Internet-facing"/>
    <x v="2"/>
    <s v="Finance"/>
    <s v="Ana Costa"/>
    <d v="2026-09-08T00:00:00"/>
    <d v="2026-09-21T00:00:00"/>
    <x v="0"/>
    <m/>
    <x v="1"/>
    <n v="6"/>
    <x v="2"/>
  </r>
  <r>
    <x v="299"/>
    <s v="WEB-093"/>
    <s v="Web Server"/>
    <s v="Linux Kernel"/>
    <s v="CVE-2022-30190"/>
    <x v="0"/>
    <n v="7.8"/>
    <x v="227"/>
    <x v="1"/>
    <s v="Internal"/>
    <x v="1"/>
    <s v="Legal"/>
    <s v="Marcos Teixeira"/>
    <d v="2026-08-14T00:00:00"/>
    <d v="2026-08-28T00:00:00"/>
    <x v="1"/>
    <m/>
    <x v="0"/>
    <n v="4"/>
    <x v="1"/>
  </r>
  <r>
    <x v="300"/>
    <s v="WIN-028"/>
    <s v="Windows Server"/>
    <s v="Jenkins"/>
    <s v="CVE-2025-3021"/>
    <x v="4"/>
    <n v="8.6"/>
    <x v="229"/>
    <x v="1"/>
    <s v="Internal"/>
    <x v="1"/>
    <s v="HR"/>
    <s v="Elisa Rocha"/>
    <d v="2026-08-08T00:00:00"/>
    <d v="2026-08-22T00:00:00"/>
    <x v="0"/>
    <m/>
    <x v="0"/>
    <n v="3"/>
    <x v="2"/>
  </r>
  <r>
    <x v="301"/>
    <s v="FIR-078"/>
    <s v="Firewall"/>
    <s v="PostgreSQL"/>
    <s v="CVE-2021-44228"/>
    <x v="0"/>
    <n v="10"/>
    <x v="230"/>
    <x v="0"/>
    <s v="Internet-facing"/>
    <x v="0"/>
    <s v="Engineering"/>
    <s v="Diego Alves"/>
    <d v="2026-08-16T00:00:00"/>
    <d v="2026-08-23T00:00:00"/>
    <x v="0"/>
    <m/>
    <x v="1"/>
    <n v="15"/>
    <x v="4"/>
  </r>
  <r>
    <x v="302"/>
    <s v="DAT-069"/>
    <s v="Database"/>
    <s v="FortiOS"/>
    <s v="CVE-2022-30190"/>
    <x v="0"/>
    <n v="7.8"/>
    <x v="231"/>
    <x v="1"/>
    <s v="Internal"/>
    <x v="1"/>
    <s v="Sales"/>
    <s v="Gabriela Souza"/>
    <d v="2026-08-20T00:00:00"/>
    <d v="2026-09-03T00:00:00"/>
    <x v="0"/>
    <m/>
    <x v="0"/>
    <n v="5"/>
    <x v="2"/>
  </r>
  <r>
    <x v="303"/>
    <s v="WIN-103"/>
    <s v="Windows Server"/>
    <s v="Confluence"/>
    <s v="CVE-2021-44228"/>
    <x v="0"/>
    <n v="10"/>
    <x v="123"/>
    <x v="1"/>
    <s v="Internal"/>
    <x v="1"/>
    <s v="Sales"/>
    <s v="Gabriela Souza"/>
    <d v="2026-08-21T00:00:00"/>
    <d v="2026-08-28T00:00:00"/>
    <x v="0"/>
    <m/>
    <x v="0"/>
    <n v="7"/>
    <x v="3"/>
  </r>
  <r>
    <x v="304"/>
    <s v="DAT-006"/>
    <s v="Database"/>
    <s v="PostgreSQL"/>
    <s v="CVE-2023-23397"/>
    <x v="1"/>
    <n v="9.8000000000000007"/>
    <x v="232"/>
    <x v="1"/>
    <s v="Internal"/>
    <x v="0"/>
    <s v="HR"/>
    <s v="Elisa Rocha"/>
    <d v="2026-08-02T00:00:00"/>
    <d v="2026-08-09T00:00:00"/>
    <x v="0"/>
    <m/>
    <x v="0"/>
    <n v="8"/>
    <x v="3"/>
  </r>
  <r>
    <x v="305"/>
    <s v="LIN-026"/>
    <s v="Linux Server"/>
    <s v="PostgreSQL"/>
    <s v="CVE-2024-6387"/>
    <x v="0"/>
    <n v="8.5"/>
    <x v="233"/>
    <x v="0"/>
    <s v="Internet-facing"/>
    <x v="0"/>
    <s v="HR"/>
    <s v="Elisa Rocha"/>
    <d v="2026-08-16T00:00:00"/>
    <d v="2026-08-30T00:00:00"/>
    <x v="0"/>
    <m/>
    <x v="1"/>
    <n v="11"/>
    <x v="0"/>
  </r>
  <r>
    <x v="306"/>
    <s v="DAT-093"/>
    <s v="Database"/>
    <s v="Jenkins"/>
    <s v="CVE-2022-30190"/>
    <x v="0"/>
    <n v="7.8"/>
    <x v="140"/>
    <x v="1"/>
    <s v="Internal"/>
    <x v="1"/>
    <s v="HR"/>
    <s v="Elisa Rocha"/>
    <d v="2026-09-01T00:00:00"/>
    <d v="2026-09-15T00:00:00"/>
    <x v="0"/>
    <m/>
    <x v="0"/>
    <n v="4"/>
    <x v="2"/>
  </r>
  <r>
    <x v="307"/>
    <s v="LIN-093"/>
    <s v="Linux Server"/>
    <s v="Confluence"/>
    <s v="CVE-2023-34362"/>
    <x v="3"/>
    <n v="9.8000000000000007"/>
    <x v="234"/>
    <x v="1"/>
    <s v="Internal"/>
    <x v="0"/>
    <s v="Engineering"/>
    <s v="Carla Mendes"/>
    <d v="2026-08-12T00:00:00"/>
    <d v="2026-08-19T00:00:00"/>
    <x v="0"/>
    <m/>
    <x v="0"/>
    <n v="7"/>
    <x v="3"/>
  </r>
  <r>
    <x v="308"/>
    <s v="WIN-108"/>
    <s v="Windows Server"/>
    <s v="VMware ESXi"/>
    <s v="CVE-2026-2173"/>
    <x v="1"/>
    <n v="8.8000000000000007"/>
    <x v="235"/>
    <x v="1"/>
    <s v="Internal"/>
    <x v="1"/>
    <s v="Operations"/>
    <s v="Isabela Nunes"/>
    <d v="2026-08-04T00:00:00"/>
    <d v="2026-08-18T00:00:00"/>
    <x v="1"/>
    <m/>
    <x v="0"/>
    <n v="6"/>
    <x v="1"/>
  </r>
  <r>
    <x v="309"/>
    <s v="FIR-030"/>
    <s v="Firewall"/>
    <s v="Jenkins"/>
    <s v="CVE-2026-2173"/>
    <x v="1"/>
    <n v="8.8000000000000007"/>
    <x v="236"/>
    <x v="1"/>
    <s v="Internal"/>
    <x v="1"/>
    <s v="Engineering"/>
    <s v="Diego Alves"/>
    <d v="2026-08-10T00:00:00"/>
    <d v="2026-08-20T00:00:00"/>
    <x v="0"/>
    <m/>
    <x v="0"/>
    <n v="4"/>
    <x v="2"/>
  </r>
  <r>
    <x v="310"/>
    <s v="WEB-082"/>
    <s v="Web Server"/>
    <s v="Windows Server"/>
    <s v="CVE-2022-30190"/>
    <x v="0"/>
    <n v="7.8"/>
    <x v="128"/>
    <x v="1"/>
    <s v="Internal"/>
    <x v="1"/>
    <s v="Finance"/>
    <s v="Ana Costa"/>
    <d v="2026-08-31T00:00:00"/>
    <d v="2026-09-14T00:00:00"/>
    <x v="1"/>
    <m/>
    <x v="0"/>
    <n v="4"/>
    <x v="1"/>
  </r>
  <r>
    <x v="311"/>
    <s v="WEB-071"/>
    <s v="Web Server"/>
    <s v="Microsoft Exchange"/>
    <s v="CVE-2024-3094"/>
    <x v="6"/>
    <n v="10"/>
    <x v="119"/>
    <x v="0"/>
    <s v="Restricted"/>
    <x v="1"/>
    <s v="Finance"/>
    <s v="Bruno Lima"/>
    <d v="2026-08-18T00:00:00"/>
    <d v="2026-08-25T00:00:00"/>
    <x v="0"/>
    <m/>
    <x v="0"/>
    <n v="11"/>
    <x v="0"/>
  </r>
  <r>
    <x v="312"/>
    <s v="WEB-105"/>
    <s v="Web Server"/>
    <s v="VMware ESXi"/>
    <s v="CVE-2021-44228"/>
    <x v="0"/>
    <n v="10"/>
    <x v="237"/>
    <x v="0"/>
    <s v="Internet-facing"/>
    <x v="0"/>
    <s v="Finance"/>
    <s v="Ana Costa"/>
    <d v="2026-08-12T00:00:00"/>
    <d v="2026-08-18T00:00:00"/>
    <x v="0"/>
    <m/>
    <x v="1"/>
    <n v="14"/>
    <x v="4"/>
  </r>
  <r>
    <x v="313"/>
    <s v="LIN-080"/>
    <s v="Linux Server"/>
    <s v="Microsoft SQL Server"/>
    <s v="CVE-2023-34362"/>
    <x v="3"/>
    <n v="9.8000000000000007"/>
    <x v="238"/>
    <x v="1"/>
    <s v="Internal"/>
    <x v="1"/>
    <s v="Engineering"/>
    <s v="Carla Mendes"/>
    <d v="2026-08-23T00:00:00"/>
    <d v="2026-08-30T00:00:00"/>
    <x v="3"/>
    <d v="2026-09-19T00:00:00"/>
    <x v="0"/>
    <n v="6"/>
    <x v="1"/>
  </r>
  <r>
    <x v="314"/>
    <s v="DAT-059"/>
    <s v="Database"/>
    <s v="PostgreSQL"/>
    <s v="CVE-2023-23397"/>
    <x v="1"/>
    <n v="10"/>
    <x v="122"/>
    <x v="1"/>
    <s v="Internet-facing"/>
    <x v="0"/>
    <s v="HR"/>
    <s v="Elisa Rocha"/>
    <d v="2026-08-15T00:00:00"/>
    <d v="2026-08-22T00:00:00"/>
    <x v="0"/>
    <m/>
    <x v="1"/>
    <n v="10"/>
    <x v="0"/>
  </r>
  <r>
    <x v="315"/>
    <s v="FIR-098"/>
    <s v="Firewall"/>
    <s v="Apache HTTP Server"/>
    <s v="CVE-2026-1847"/>
    <x v="0"/>
    <n v="9.8000000000000007"/>
    <x v="239"/>
    <x v="1"/>
    <s v="Restricted"/>
    <x v="1"/>
    <s v="IT"/>
    <s v="Larissa Freitas"/>
    <d v="2026-08-26T00:00:00"/>
    <d v="2026-09-02T00:00:00"/>
    <x v="0"/>
    <m/>
    <x v="0"/>
    <n v="5"/>
    <x v="2"/>
  </r>
  <r>
    <x v="316"/>
    <s v="FIR-002"/>
    <s v="Firewall"/>
    <s v="OpenSSH"/>
    <s v="CVE-2021-44228"/>
    <x v="0"/>
    <n v="10"/>
    <x v="202"/>
    <x v="0"/>
    <s v="Internal"/>
    <x v="0"/>
    <s v="Finance"/>
    <s v="Ana Costa"/>
    <d v="2026-08-28T00:00:00"/>
    <d v="2026-09-04T00:00:00"/>
    <x v="3"/>
    <d v="2026-09-20T00:00:00"/>
    <x v="0"/>
    <n v="12"/>
    <x v="1"/>
  </r>
  <r>
    <x v="317"/>
    <s v="WIN-030"/>
    <s v="Windows Server"/>
    <s v="Jenkins"/>
    <s v="CVE-2025-3021"/>
    <x v="4"/>
    <n v="8.6"/>
    <x v="83"/>
    <x v="1"/>
    <s v="Internal"/>
    <x v="0"/>
    <s v="Operations"/>
    <s v="Henrique Dias"/>
    <d v="2026-09-06T00:00:00"/>
    <d v="2026-09-20T00:00:00"/>
    <x v="3"/>
    <d v="2026-09-10T00:00:00"/>
    <x v="0"/>
    <n v="6"/>
    <x v="1"/>
  </r>
  <r>
    <x v="318"/>
    <s v="WOR-116"/>
    <s v="Workstation"/>
    <s v="Windows Server"/>
    <s v="CVE-2023-34362"/>
    <x v="3"/>
    <n v="9.8000000000000007"/>
    <x v="195"/>
    <x v="1"/>
    <s v="Internal"/>
    <x v="0"/>
    <s v="IT"/>
    <s v="João Ribeiro"/>
    <d v="2026-08-03T00:00:00"/>
    <d v="2026-08-07T00:00:00"/>
    <x v="0"/>
    <m/>
    <x v="0"/>
    <n v="8"/>
    <x v="3"/>
  </r>
  <r>
    <x v="319"/>
    <s v="WEB-019"/>
    <s v="Web Server"/>
    <s v="GitLab"/>
    <s v="CVE-2021-44228"/>
    <x v="0"/>
    <n v="10"/>
    <x v="15"/>
    <x v="1"/>
    <s v="Internet-facing"/>
    <x v="0"/>
    <s v="Engineering"/>
    <s v="Diego Alves"/>
    <d v="2026-08-20T00:00:00"/>
    <d v="2026-08-25T00:00:00"/>
    <x v="2"/>
    <d v="2026-09-15T00:00:00"/>
    <x v="1"/>
    <n v="10"/>
    <x v="1"/>
  </r>
  <r>
    <x v="320"/>
    <s v="FIR-018"/>
    <s v="Firewall"/>
    <s v="Jenkins"/>
    <s v="CVE-2021-44228"/>
    <x v="0"/>
    <n v="10"/>
    <x v="240"/>
    <x v="0"/>
    <s v="Internal"/>
    <x v="1"/>
    <s v="Sales"/>
    <s v="Felipe Martins"/>
    <d v="2026-08-23T00:00:00"/>
    <d v="2026-08-26T00:00:00"/>
    <x v="0"/>
    <m/>
    <x v="0"/>
    <n v="10"/>
    <x v="0"/>
  </r>
  <r>
    <x v="321"/>
    <s v="WIN-044"/>
    <s v="Windows Server"/>
    <s v="Windows Server"/>
    <s v="CVE-2023-23397"/>
    <x v="1"/>
    <n v="9.8000000000000007"/>
    <x v="13"/>
    <x v="1"/>
    <s v="Internet-facing"/>
    <x v="1"/>
    <s v="Legal"/>
    <s v="Marcos Teixeira"/>
    <d v="2026-08-26T00:00:00"/>
    <d v="2026-09-02T00:00:00"/>
    <x v="3"/>
    <d v="2026-09-17T00:00:00"/>
    <x v="1"/>
    <n v="9"/>
    <x v="1"/>
  </r>
  <r>
    <x v="322"/>
    <s v="WOR-101"/>
    <s v="Workstation"/>
    <s v="Confluence"/>
    <s v="CVE-2024-21413"/>
    <x v="0"/>
    <n v="9.8000000000000007"/>
    <x v="89"/>
    <x v="0"/>
    <s v="Internal"/>
    <x v="0"/>
    <s v="IT"/>
    <s v="Larissa Freitas"/>
    <d v="2026-09-05T00:00:00"/>
    <d v="2026-09-12T00:00:00"/>
    <x v="0"/>
    <m/>
    <x v="0"/>
    <n v="11"/>
    <x v="0"/>
  </r>
  <r>
    <x v="323"/>
    <s v="FIR-075"/>
    <s v="Firewall"/>
    <s v="GitLab"/>
    <s v="CVE-2022-30190"/>
    <x v="0"/>
    <n v="7.8"/>
    <x v="241"/>
    <x v="1"/>
    <s v="Internal"/>
    <x v="1"/>
    <s v="Engineering"/>
    <s v="Carla Mendes"/>
    <d v="2026-08-06T00:00:00"/>
    <d v="2026-08-20T00:00:00"/>
    <x v="2"/>
    <d v="2026-08-26T00:00:00"/>
    <x v="0"/>
    <n v="5"/>
    <x v="1"/>
  </r>
  <r>
    <x v="324"/>
    <s v="WIN-011"/>
    <s v="Windows Server"/>
    <s v="OpenSSH"/>
    <s v="CVE-2025-7710"/>
    <x v="2"/>
    <n v="7.5"/>
    <x v="105"/>
    <x v="1"/>
    <s v="Internal"/>
    <x v="1"/>
    <s v="IT"/>
    <s v="Larissa Freitas"/>
    <d v="2026-08-25T00:00:00"/>
    <d v="2026-09-08T00:00:00"/>
    <x v="2"/>
    <d v="2026-09-05T00:00:00"/>
    <x v="0"/>
    <n v="5"/>
    <x v="1"/>
  </r>
  <r>
    <x v="325"/>
    <s v="WOR-014"/>
    <s v="Workstation"/>
    <s v="Microsoft Exchange"/>
    <s v="CVE-2026-2173"/>
    <x v="1"/>
    <n v="8.8000000000000007"/>
    <x v="242"/>
    <x v="1"/>
    <s v="Internal"/>
    <x v="1"/>
    <s v="HR"/>
    <s v="Elisa Rocha"/>
    <d v="2026-08-20T00:00:00"/>
    <d v="2026-09-03T00:00:00"/>
    <x v="0"/>
    <m/>
    <x v="0"/>
    <n v="5"/>
    <x v="2"/>
  </r>
  <r>
    <x v="326"/>
    <s v="LIN-012"/>
    <s v="Linux Server"/>
    <s v="GitLab"/>
    <s v="CVE-2025-4912"/>
    <x v="5"/>
    <n v="9.1"/>
    <x v="243"/>
    <x v="1"/>
    <s v="Internal"/>
    <x v="0"/>
    <s v="Finance"/>
    <s v="Bruno Lima"/>
    <d v="2026-08-29T00:00:00"/>
    <d v="2026-09-05T00:00:00"/>
    <x v="4"/>
    <m/>
    <x v="0"/>
    <n v="7"/>
    <x v="1"/>
  </r>
  <r>
    <x v="327"/>
    <s v="WIN-012"/>
    <s v="Windows Server"/>
    <s v="Linux Kernel"/>
    <s v="CVE-2024-6387"/>
    <x v="0"/>
    <n v="8.1"/>
    <x v="30"/>
    <x v="0"/>
    <s v="Internal"/>
    <x v="0"/>
    <s v="Finance"/>
    <s v="Bruno Lima"/>
    <d v="2026-09-08T00:00:00"/>
    <d v="2026-09-22T00:00:00"/>
    <x v="0"/>
    <m/>
    <x v="0"/>
    <n v="9"/>
    <x v="3"/>
  </r>
  <r>
    <x v="328"/>
    <s v="WOR-053"/>
    <s v="Workstation"/>
    <s v="Apache HTTP Server"/>
    <s v="CVE-2024-3094"/>
    <x v="6"/>
    <n v="10"/>
    <x v="244"/>
    <x v="1"/>
    <s v="Internal"/>
    <x v="0"/>
    <s v="Finance"/>
    <s v="Ana Costa"/>
    <d v="2026-09-05T00:00:00"/>
    <d v="2026-09-12T00:00:00"/>
    <x v="3"/>
    <d v="2026-09-22T00:00:00"/>
    <x v="0"/>
    <n v="8"/>
    <x v="1"/>
  </r>
  <r>
    <x v="329"/>
    <s v="DAT-022"/>
    <s v="Database"/>
    <s v="Microsoft SQL Server"/>
    <s v="CVE-2025-4912"/>
    <x v="5"/>
    <n v="9.1"/>
    <x v="245"/>
    <x v="1"/>
    <s v="Restricted"/>
    <x v="0"/>
    <s v="IT"/>
    <s v="João Ribeiro"/>
    <d v="2026-08-20T00:00:00"/>
    <d v="2026-08-27T00:00:00"/>
    <x v="4"/>
    <m/>
    <x v="0"/>
    <n v="7"/>
    <x v="1"/>
  </r>
  <r>
    <x v="330"/>
    <s v="LIN-056"/>
    <s v="Linux Server"/>
    <s v="GitLab"/>
    <s v="CVE-2025-7710"/>
    <x v="2"/>
    <n v="7.5"/>
    <x v="246"/>
    <x v="1"/>
    <s v="Internal"/>
    <x v="2"/>
    <s v="Finance"/>
    <s v="Ana Costa"/>
    <d v="2026-08-20T00:00:00"/>
    <d v="2026-09-03T00:00:00"/>
    <x v="0"/>
    <m/>
    <x v="0"/>
    <n v="3"/>
    <x v="2"/>
  </r>
  <r>
    <x v="331"/>
    <s v="WOR-032"/>
    <s v="Workstation"/>
    <s v="VMware ESXi"/>
    <s v="CVE-2021-44228"/>
    <x v="0"/>
    <n v="10"/>
    <x v="41"/>
    <x v="0"/>
    <s v="Internal"/>
    <x v="2"/>
    <s v="HR"/>
    <s v="Elisa Rocha"/>
    <d v="2026-09-09T00:00:00"/>
    <d v="2026-09-15T00:00:00"/>
    <x v="3"/>
    <d v="2026-09-19T00:00:00"/>
    <x v="0"/>
    <n v="10"/>
    <x v="1"/>
  </r>
  <r>
    <x v="332"/>
    <s v="DAT-043"/>
    <s v="Database"/>
    <s v="GitLab"/>
    <s v="CVE-2023-23397"/>
    <x v="1"/>
    <n v="9.8000000000000007"/>
    <x v="247"/>
    <x v="1"/>
    <s v="Internal"/>
    <x v="1"/>
    <s v="Finance"/>
    <s v="Bruno Lima"/>
    <d v="2026-08-22T00:00:00"/>
    <d v="2026-08-29T00:00:00"/>
    <x v="1"/>
    <m/>
    <x v="0"/>
    <n v="6"/>
    <x v="1"/>
  </r>
  <r>
    <x v="333"/>
    <s v="FIR-077"/>
    <s v="Firewall"/>
    <s v="Microsoft SQL Server"/>
    <s v="CVE-2025-4912"/>
    <x v="5"/>
    <n v="9.1"/>
    <x v="104"/>
    <x v="1"/>
    <s v="Internet-facing"/>
    <x v="0"/>
    <s v="Legal"/>
    <s v="Marcos Teixeira"/>
    <d v="2026-08-21T00:00:00"/>
    <d v="2026-08-28T00:00:00"/>
    <x v="0"/>
    <m/>
    <x v="1"/>
    <n v="8"/>
    <x v="3"/>
  </r>
  <r>
    <x v="334"/>
    <s v="WOR-023"/>
    <s v="Workstation"/>
    <s v="FortiOS"/>
    <s v="CVE-2024-3094"/>
    <x v="6"/>
    <n v="10"/>
    <x v="248"/>
    <x v="0"/>
    <s v="Internal"/>
    <x v="1"/>
    <s v="Sales"/>
    <s v="Felipe Martins"/>
    <d v="2026-09-10T00:00:00"/>
    <d v="2026-09-17T00:00:00"/>
    <x v="0"/>
    <m/>
    <x v="0"/>
    <n v="11"/>
    <x v="0"/>
  </r>
  <r>
    <x v="335"/>
    <s v="DAT-036"/>
    <s v="Database"/>
    <s v="FortiOS"/>
    <s v="CVE-2024-3094"/>
    <x v="6"/>
    <n v="10"/>
    <x v="243"/>
    <x v="0"/>
    <s v="Internet-facing"/>
    <x v="1"/>
    <s v="HR"/>
    <s v="Elisa Rocha"/>
    <d v="2026-09-06T00:00:00"/>
    <d v="2026-09-11T00:00:00"/>
    <x v="0"/>
    <m/>
    <x v="1"/>
    <n v="13"/>
    <x v="4"/>
  </r>
  <r>
    <x v="336"/>
    <s v="DAT-091"/>
    <s v="Database"/>
    <s v="Confluence"/>
    <s v="CVE-2025-3021"/>
    <x v="4"/>
    <n v="8.6"/>
    <x v="83"/>
    <x v="1"/>
    <s v="Restricted"/>
    <x v="1"/>
    <s v="IT"/>
    <s v="João Ribeiro"/>
    <d v="2026-08-19T00:00:00"/>
    <d v="2026-09-02T00:00:00"/>
    <x v="0"/>
    <m/>
    <x v="0"/>
    <n v="5"/>
    <x v="2"/>
  </r>
  <r>
    <x v="337"/>
    <s v="DAT-087"/>
    <s v="Database"/>
    <s v="OpenSSH"/>
    <s v="CVE-2024-21413"/>
    <x v="0"/>
    <n v="9.8000000000000007"/>
    <x v="249"/>
    <x v="0"/>
    <s v="Internal"/>
    <x v="2"/>
    <s v="Legal"/>
    <s v="Marcos Teixeira"/>
    <d v="2026-08-16T00:00:00"/>
    <d v="2026-08-23T00:00:00"/>
    <x v="0"/>
    <m/>
    <x v="0"/>
    <n v="10"/>
    <x v="0"/>
  </r>
  <r>
    <x v="338"/>
    <s v="DAT-102"/>
    <s v="Database"/>
    <s v="Apache HTTP Server"/>
    <s v="CVE-2024-3094"/>
    <x v="6"/>
    <n v="10"/>
    <x v="250"/>
    <x v="0"/>
    <s v="Internal"/>
    <x v="2"/>
    <s v="IT"/>
    <s v="Larissa Freitas"/>
    <d v="2026-09-08T00:00:00"/>
    <d v="2026-09-15T00:00:00"/>
    <x v="2"/>
    <d v="2026-10-05T00:00:00"/>
    <x v="0"/>
    <n v="10"/>
    <x v="1"/>
  </r>
  <r>
    <x v="339"/>
    <s v="WIN-102"/>
    <s v="Windows Server"/>
    <s v="Jenkins"/>
    <s v="CVE-2024-6387"/>
    <x v="0"/>
    <n v="8.1"/>
    <x v="251"/>
    <x v="1"/>
    <s v="Internet-facing"/>
    <x v="2"/>
    <s v="Operations"/>
    <s v="Henrique Dias"/>
    <d v="2026-09-04T00:00:00"/>
    <d v="2026-09-18T00:00:00"/>
    <x v="0"/>
    <m/>
    <x v="1"/>
    <n v="6"/>
    <x v="2"/>
  </r>
  <r>
    <x v="340"/>
    <s v="LIN-085"/>
    <s v="Linux Server"/>
    <s v="FortiOS"/>
    <s v="CVE-2022-30190"/>
    <x v="0"/>
    <n v="7.8"/>
    <x v="244"/>
    <x v="1"/>
    <s v="Internet-facing"/>
    <x v="1"/>
    <s v="Finance"/>
    <s v="Ana Costa"/>
    <d v="2026-08-11T00:00:00"/>
    <d v="2026-08-25T00:00:00"/>
    <x v="0"/>
    <m/>
    <x v="1"/>
    <n v="6"/>
    <x v="2"/>
  </r>
  <r>
    <x v="341"/>
    <s v="FIR-087"/>
    <s v="Firewall"/>
    <s v="GitLab"/>
    <s v="CVE-2022-30190"/>
    <x v="0"/>
    <n v="7.8"/>
    <x v="68"/>
    <x v="1"/>
    <s v="Internet-facing"/>
    <x v="1"/>
    <s v="Operations"/>
    <s v="Isabela Nunes"/>
    <d v="2026-08-22T00:00:00"/>
    <d v="2026-09-05T00:00:00"/>
    <x v="0"/>
    <m/>
    <x v="1"/>
    <n v="7"/>
    <x v="3"/>
  </r>
  <r>
    <x v="342"/>
    <s v="WIN-013"/>
    <s v="Windows Server"/>
    <s v="PostgreSQL"/>
    <s v="CVE-2025-7710"/>
    <x v="2"/>
    <n v="7.5"/>
    <x v="252"/>
    <x v="1"/>
    <s v="Restricted"/>
    <x v="2"/>
    <s v="Finance"/>
    <s v="Ana Costa"/>
    <d v="2026-09-02T00:00:00"/>
    <d v="2026-09-16T00:00:00"/>
    <x v="0"/>
    <m/>
    <x v="0"/>
    <n v="3"/>
    <x v="2"/>
  </r>
  <r>
    <x v="343"/>
    <s v="WOR-051"/>
    <s v="Workstation"/>
    <s v="VMware ESXi"/>
    <s v="CVE-2024-21413"/>
    <x v="0"/>
    <n v="9.8000000000000007"/>
    <x v="253"/>
    <x v="0"/>
    <s v="Internal"/>
    <x v="0"/>
    <s v="Sales"/>
    <s v="Felipe Martins"/>
    <d v="2026-09-02T00:00:00"/>
    <d v="2026-09-08T00:00:00"/>
    <x v="2"/>
    <d v="2026-10-04T00:00:00"/>
    <x v="0"/>
    <n v="12"/>
    <x v="1"/>
  </r>
  <r>
    <x v="344"/>
    <s v="DAT-118"/>
    <s v="Database"/>
    <s v="Apache HTTP Server"/>
    <s v="CVE-2026-2173"/>
    <x v="1"/>
    <n v="8.8000000000000007"/>
    <x v="167"/>
    <x v="1"/>
    <s v="Restricted"/>
    <x v="0"/>
    <s v="HR"/>
    <s v="Elisa Rocha"/>
    <d v="2026-08-10T00:00:00"/>
    <d v="2026-08-24T00:00:00"/>
    <x v="2"/>
    <d v="2026-09-02T00:00:00"/>
    <x v="0"/>
    <n v="6"/>
    <x v="1"/>
  </r>
  <r>
    <x v="345"/>
    <s v="LIN-067"/>
    <s v="Linux Server"/>
    <s v="FortiOS"/>
    <s v="CVE-2024-21413"/>
    <x v="0"/>
    <n v="9.8000000000000007"/>
    <x v="254"/>
    <x v="0"/>
    <s v="Restricted"/>
    <x v="0"/>
    <s v="Legal"/>
    <s v="Marcos Teixeira"/>
    <d v="2026-08-29T00:00:00"/>
    <d v="2026-09-05T00:00:00"/>
    <x v="0"/>
    <m/>
    <x v="0"/>
    <n v="11"/>
    <x v="0"/>
  </r>
  <r>
    <x v="346"/>
    <s v="WIN-039"/>
    <s v="Windows Server"/>
    <s v="Jenkins"/>
    <s v="CVE-2026-1847"/>
    <x v="0"/>
    <n v="9.8000000000000007"/>
    <x v="134"/>
    <x v="1"/>
    <s v="Internal"/>
    <x v="1"/>
    <s v="HR"/>
    <s v="Elisa Rocha"/>
    <d v="2026-08-08T00:00:00"/>
    <d v="2026-08-12T00:00:00"/>
    <x v="1"/>
    <m/>
    <x v="0"/>
    <n v="7"/>
    <x v="1"/>
  </r>
  <r>
    <x v="347"/>
    <s v="LIN-120"/>
    <s v="Linux Server"/>
    <s v="PostgreSQL"/>
    <s v="CVE-2021-44228"/>
    <x v="0"/>
    <n v="10"/>
    <x v="23"/>
    <x v="0"/>
    <s v="Internal"/>
    <x v="0"/>
    <s v="IT"/>
    <s v="Larissa Freitas"/>
    <d v="2026-09-05T00:00:00"/>
    <d v="2026-09-08T00:00:00"/>
    <x v="0"/>
    <m/>
    <x v="0"/>
    <n v="12"/>
    <x v="0"/>
  </r>
  <r>
    <x v="348"/>
    <s v="DAT-081"/>
    <s v="Database"/>
    <s v="OpenSSH"/>
    <s v="CVE-2025-4912"/>
    <x v="5"/>
    <n v="9.1"/>
    <x v="238"/>
    <x v="1"/>
    <s v="Internet-facing"/>
    <x v="2"/>
    <s v="Engineering"/>
    <s v="Diego Alves"/>
    <d v="2026-09-10T00:00:00"/>
    <d v="2026-09-17T00:00:00"/>
    <x v="0"/>
    <m/>
    <x v="1"/>
    <n v="6"/>
    <x v="2"/>
  </r>
  <r>
    <x v="349"/>
    <s v="FIR-079"/>
    <s v="Firewall"/>
    <s v="Confluence"/>
    <s v="CVE-2025-3021"/>
    <x v="4"/>
    <n v="8.6"/>
    <x v="255"/>
    <x v="1"/>
    <s v="Internal"/>
    <x v="1"/>
    <s v="Finance"/>
    <s v="Ana Costa"/>
    <d v="2026-09-07T00:00:00"/>
    <d v="2026-09-21T00:00:00"/>
    <x v="0"/>
    <m/>
    <x v="0"/>
    <n v="6"/>
    <x v="2"/>
  </r>
  <r>
    <x v="350"/>
    <s v="LIN-027"/>
    <s v="Linux Server"/>
    <s v="Jenkins"/>
    <s v="CVE-2025-7710"/>
    <x v="2"/>
    <n v="7.9"/>
    <x v="256"/>
    <x v="1"/>
    <s v="Internet-facing"/>
    <x v="0"/>
    <s v="IT"/>
    <s v="João Ribeiro"/>
    <d v="2026-08-05T00:00:00"/>
    <d v="2026-08-19T00:00:00"/>
    <x v="4"/>
    <m/>
    <x v="1"/>
    <n v="7"/>
    <x v="1"/>
  </r>
  <r>
    <x v="351"/>
    <s v="WOR-026"/>
    <s v="Workstation"/>
    <s v="Apache HTTP Server"/>
    <s v="CVE-2024-21413"/>
    <x v="0"/>
    <n v="9.8000000000000007"/>
    <x v="122"/>
    <x v="0"/>
    <s v="Internal"/>
    <x v="0"/>
    <s v="HR"/>
    <s v="Elisa Rocha"/>
    <d v="2026-09-01T00:00:00"/>
    <d v="2026-09-08T00:00:00"/>
    <x v="0"/>
    <m/>
    <x v="0"/>
    <n v="10"/>
    <x v="0"/>
  </r>
  <r>
    <x v="352"/>
    <s v="DAT-079"/>
    <s v="Database"/>
    <s v="Windows Server"/>
    <s v="CVE-2024-3094"/>
    <x v="6"/>
    <n v="10"/>
    <x v="257"/>
    <x v="0"/>
    <s v="Internal"/>
    <x v="2"/>
    <s v="Operations"/>
    <s v="Henrique Dias"/>
    <d v="2026-08-23T00:00:00"/>
    <d v="2026-08-30T00:00:00"/>
    <x v="4"/>
    <m/>
    <x v="0"/>
    <n v="11"/>
    <x v="1"/>
  </r>
  <r>
    <x v="353"/>
    <s v="FIR-091"/>
    <s v="Firewall"/>
    <s v="Windows Server"/>
    <s v="CVE-2025-7710"/>
    <x v="2"/>
    <n v="7.5"/>
    <x v="179"/>
    <x v="1"/>
    <s v="Restricted"/>
    <x v="0"/>
    <s v="Legal"/>
    <s v="Marcos Teixeira"/>
    <d v="2026-09-07T00:00:00"/>
    <d v="2026-09-19T00:00:00"/>
    <x v="0"/>
    <m/>
    <x v="0"/>
    <n v="6"/>
    <x v="2"/>
  </r>
  <r>
    <x v="354"/>
    <s v="LIN-040"/>
    <s v="Linux Server"/>
    <s v="OpenSSH"/>
    <s v="CVE-2026-2173"/>
    <x v="1"/>
    <n v="8.8000000000000007"/>
    <x v="258"/>
    <x v="1"/>
    <s v="Internal"/>
    <x v="2"/>
    <s v="Finance"/>
    <s v="Bruno Lima"/>
    <d v="2026-08-24T00:00:00"/>
    <d v="2026-09-07T00:00:00"/>
    <x v="1"/>
    <m/>
    <x v="0"/>
    <n v="4"/>
    <x v="1"/>
  </r>
  <r>
    <x v="355"/>
    <s v="WEB-018"/>
    <s v="Web Server"/>
    <s v="GitLab"/>
    <s v="CVE-2023-23397"/>
    <x v="1"/>
    <n v="9.8000000000000007"/>
    <x v="259"/>
    <x v="0"/>
    <s v="Internet-facing"/>
    <x v="0"/>
    <s v="Sales"/>
    <s v="Felipe Martins"/>
    <d v="2026-09-01T00:00:00"/>
    <d v="2026-09-08T00:00:00"/>
    <x v="2"/>
    <d v="2026-09-14T00:00:00"/>
    <x v="1"/>
    <n v="14"/>
    <x v="1"/>
  </r>
  <r>
    <x v="356"/>
    <s v="WOR-018"/>
    <s v="Workstation"/>
    <s v="FortiOS"/>
    <s v="CVE-2025-4912"/>
    <x v="5"/>
    <n v="9.1"/>
    <x v="161"/>
    <x v="1"/>
    <s v="Internal"/>
    <x v="0"/>
    <s v="Sales"/>
    <s v="Gabriela Souza"/>
    <d v="2026-08-29T00:00:00"/>
    <d v="2026-09-05T00:00:00"/>
    <x v="0"/>
    <m/>
    <x v="0"/>
    <n v="6"/>
    <x v="2"/>
  </r>
  <r>
    <x v="357"/>
    <s v="DAT-018"/>
    <s v="Database"/>
    <s v="GitLab"/>
    <s v="CVE-2025-3021"/>
    <x v="4"/>
    <n v="8.6"/>
    <x v="260"/>
    <x v="1"/>
    <s v="Internal"/>
    <x v="0"/>
    <s v="Finance"/>
    <s v="Bruno Lima"/>
    <d v="2026-09-05T00:00:00"/>
    <d v="2026-09-19T00:00:00"/>
    <x v="0"/>
    <m/>
    <x v="0"/>
    <n v="4"/>
    <x v="2"/>
  </r>
  <r>
    <x v="358"/>
    <s v="FIR-063"/>
    <s v="Firewall"/>
    <s v="Jenkins"/>
    <s v="CVE-2024-3094"/>
    <x v="6"/>
    <n v="10"/>
    <x v="242"/>
    <x v="1"/>
    <s v="Restricted"/>
    <x v="1"/>
    <s v="Sales"/>
    <s v="Felipe Martins"/>
    <d v="2026-09-01T00:00:00"/>
    <d v="2026-09-07T00:00:00"/>
    <x v="0"/>
    <m/>
    <x v="0"/>
    <n v="8"/>
    <x v="3"/>
  </r>
  <r>
    <x v="359"/>
    <s v="WIN-036"/>
    <s v="Windows Server"/>
    <s v="Linux Kernel"/>
    <s v="CVE-2025-3021"/>
    <x v="4"/>
    <n v="8.6"/>
    <x v="261"/>
    <x v="1"/>
    <s v="Internet-facing"/>
    <x v="2"/>
    <s v="HR"/>
    <s v="Elisa Rocha"/>
    <d v="2026-08-19T00:00:00"/>
    <d v="2026-08-29T00:00:00"/>
    <x v="0"/>
    <m/>
    <x v="1"/>
    <n v="6"/>
    <x v="2"/>
  </r>
  <r>
    <x v="360"/>
    <s v="WEB-015"/>
    <s v="Web Server"/>
    <s v="Apache HTTP Server"/>
    <s v="CVE-2023-23397"/>
    <x v="1"/>
    <n v="9.8000000000000007"/>
    <x v="33"/>
    <x v="0"/>
    <s v="Restricted"/>
    <x v="1"/>
    <s v="Operations"/>
    <s v="Isabela Nunes"/>
    <d v="2026-09-04T00:00:00"/>
    <d v="2026-09-11T00:00:00"/>
    <x v="0"/>
    <m/>
    <x v="0"/>
    <n v="10"/>
    <x v="0"/>
  </r>
  <r>
    <x v="361"/>
    <s v="WIN-098"/>
    <s v="Windows Server"/>
    <s v="Confluence"/>
    <s v="CVE-2021-44228"/>
    <x v="0"/>
    <n v="10"/>
    <x v="179"/>
    <x v="0"/>
    <s v="Internal"/>
    <x v="0"/>
    <s v="Operations"/>
    <s v="Henrique Dias"/>
    <d v="2026-08-28T00:00:00"/>
    <d v="2026-09-02T00:00:00"/>
    <x v="3"/>
    <d v="2026-09-18T00:00:00"/>
    <x v="0"/>
    <n v="12"/>
    <x v="1"/>
  </r>
  <r>
    <x v="362"/>
    <s v="WOR-045"/>
    <s v="Workstation"/>
    <s v="Confluence"/>
    <s v="CVE-2026-2173"/>
    <x v="1"/>
    <n v="8.8000000000000007"/>
    <x v="262"/>
    <x v="1"/>
    <s v="Internal"/>
    <x v="1"/>
    <s v="Sales"/>
    <s v="Felipe Martins"/>
    <d v="2026-08-08T00:00:00"/>
    <d v="2026-08-22T00:00:00"/>
    <x v="2"/>
    <d v="2026-08-25T00:00:00"/>
    <x v="0"/>
    <n v="5"/>
    <x v="1"/>
  </r>
  <r>
    <x v="363"/>
    <s v="FIR-076"/>
    <s v="Firewall"/>
    <s v="FortiOS"/>
    <s v="CVE-2021-44228"/>
    <x v="0"/>
    <n v="10"/>
    <x v="263"/>
    <x v="1"/>
    <s v="Internet-facing"/>
    <x v="0"/>
    <s v="Legal"/>
    <s v="Marcos Teixeira"/>
    <d v="2026-09-09T00:00:00"/>
    <d v="2026-09-16T00:00:00"/>
    <x v="0"/>
    <m/>
    <x v="1"/>
    <n v="11"/>
    <x v="0"/>
  </r>
  <r>
    <x v="364"/>
    <s v="LIN-101"/>
    <s v="Linux Server"/>
    <s v="PostgreSQL"/>
    <s v="CVE-2025-3021"/>
    <x v="4"/>
    <n v="8.6"/>
    <x v="96"/>
    <x v="1"/>
    <s v="Restricted"/>
    <x v="1"/>
    <s v="Operations"/>
    <s v="Henrique Dias"/>
    <d v="2026-08-04T00:00:00"/>
    <d v="2026-08-18T00:00:00"/>
    <x v="2"/>
    <d v="2026-08-23T00:00:00"/>
    <x v="0"/>
    <n v="5"/>
    <x v="1"/>
  </r>
  <r>
    <x v="365"/>
    <s v="FIR-038"/>
    <s v="Firewall"/>
    <s v="Windows Server"/>
    <s v="CVE-2025-7710"/>
    <x v="2"/>
    <n v="7.5"/>
    <x v="30"/>
    <x v="1"/>
    <s v="Restricted"/>
    <x v="1"/>
    <s v="HR"/>
    <s v="Elisa Rocha"/>
    <d v="2026-08-18T00:00:00"/>
    <d v="2026-09-01T00:00:00"/>
    <x v="1"/>
    <m/>
    <x v="0"/>
    <n v="5"/>
    <x v="1"/>
  </r>
  <r>
    <x v="366"/>
    <s v="DAT-118"/>
    <s v="Database"/>
    <s v="Microsoft SQL Server"/>
    <s v="CVE-2026-1847"/>
    <x v="0"/>
    <n v="9.8000000000000007"/>
    <x v="264"/>
    <x v="1"/>
    <s v="Internal"/>
    <x v="0"/>
    <s v="Engineering"/>
    <s v="Carla Mendes"/>
    <d v="2026-08-09T00:00:00"/>
    <d v="2026-08-16T00:00:00"/>
    <x v="0"/>
    <m/>
    <x v="0"/>
    <n v="7"/>
    <x v="3"/>
  </r>
  <r>
    <x v="367"/>
    <s v="LIN-092"/>
    <s v="Linux Server"/>
    <s v="PostgreSQL"/>
    <s v="CVE-2024-6387"/>
    <x v="0"/>
    <n v="8.1"/>
    <x v="122"/>
    <x v="1"/>
    <s v="Internet-facing"/>
    <x v="0"/>
    <s v="Engineering"/>
    <s v="Diego Alves"/>
    <d v="2026-08-26T00:00:00"/>
    <d v="2026-09-09T00:00:00"/>
    <x v="1"/>
    <m/>
    <x v="1"/>
    <n v="7"/>
    <x v="1"/>
  </r>
  <r>
    <x v="368"/>
    <s v="DAT-049"/>
    <s v="Database"/>
    <s v="Apache HTTP Server"/>
    <s v="CVE-2024-21413"/>
    <x v="0"/>
    <n v="9.8000000000000007"/>
    <x v="265"/>
    <x v="0"/>
    <s v="Internal"/>
    <x v="0"/>
    <s v="IT"/>
    <s v="Larissa Freitas"/>
    <d v="2026-08-06T00:00:00"/>
    <d v="2026-08-13T00:00:00"/>
    <x v="3"/>
    <d v="2026-08-25T00:00:00"/>
    <x v="0"/>
    <n v="10"/>
    <x v="1"/>
  </r>
  <r>
    <x v="369"/>
    <s v="DAT-042"/>
    <s v="Database"/>
    <s v="Microsoft Exchange"/>
    <s v="CVE-2023-23397"/>
    <x v="1"/>
    <n v="9.8000000000000007"/>
    <x v="266"/>
    <x v="1"/>
    <s v="Internal"/>
    <x v="0"/>
    <s v="Sales"/>
    <s v="Gabriela Souza"/>
    <d v="2026-08-06T00:00:00"/>
    <d v="2026-08-13T00:00:00"/>
    <x v="0"/>
    <m/>
    <x v="0"/>
    <n v="7"/>
    <x v="3"/>
  </r>
  <r>
    <x v="370"/>
    <s v="FIR-090"/>
    <s v="Firewall"/>
    <s v="Apache HTTP Server"/>
    <s v="CVE-2024-6387"/>
    <x v="0"/>
    <n v="8.1"/>
    <x v="267"/>
    <x v="1"/>
    <s v="Internal"/>
    <x v="0"/>
    <s v="IT"/>
    <s v="Larissa Freitas"/>
    <d v="2026-08-26T00:00:00"/>
    <d v="2026-09-05T00:00:00"/>
    <x v="3"/>
    <d v="2026-09-10T00:00:00"/>
    <x v="0"/>
    <n v="7"/>
    <x v="1"/>
  </r>
  <r>
    <x v="371"/>
    <s v="WOR-107"/>
    <s v="Workstation"/>
    <s v="FortiOS"/>
    <s v="CVE-2025-7710"/>
    <x v="2"/>
    <n v="7.7"/>
    <x v="268"/>
    <x v="1"/>
    <s v="Internet-facing"/>
    <x v="0"/>
    <s v="HR"/>
    <s v="Elisa Rocha"/>
    <d v="2026-09-05T00:00:00"/>
    <d v="2026-09-19T00:00:00"/>
    <x v="1"/>
    <m/>
    <x v="1"/>
    <n v="8"/>
    <x v="1"/>
  </r>
  <r>
    <x v="372"/>
    <s v="WOR-115"/>
    <s v="Workstation"/>
    <s v="Microsoft Exchange"/>
    <s v="CVE-2022-30190"/>
    <x v="0"/>
    <n v="7.8"/>
    <x v="269"/>
    <x v="1"/>
    <s v="Restricted"/>
    <x v="0"/>
    <s v="Legal"/>
    <s v="Marcos Teixeira"/>
    <d v="2026-08-03T00:00:00"/>
    <d v="2026-08-13T00:00:00"/>
    <x v="0"/>
    <m/>
    <x v="0"/>
    <n v="5"/>
    <x v="2"/>
  </r>
  <r>
    <x v="373"/>
    <s v="LIN-057"/>
    <s v="Linux Server"/>
    <s v="Microsoft Exchange"/>
    <s v="CVE-2024-21413"/>
    <x v="0"/>
    <n v="9.8000000000000007"/>
    <x v="270"/>
    <x v="1"/>
    <s v="Internet-facing"/>
    <x v="1"/>
    <s v="Finance"/>
    <s v="Bruno Lima"/>
    <d v="2026-08-28T00:00:00"/>
    <d v="2026-09-02T00:00:00"/>
    <x v="0"/>
    <m/>
    <x v="1"/>
    <n v="7"/>
    <x v="3"/>
  </r>
  <r>
    <x v="374"/>
    <s v="WOR-012"/>
    <s v="Workstation"/>
    <s v="FortiOS"/>
    <s v="CVE-2022-30190"/>
    <x v="0"/>
    <n v="7.8"/>
    <x v="112"/>
    <x v="1"/>
    <s v="Internal"/>
    <x v="0"/>
    <s v="Engineering"/>
    <s v="Carla Mendes"/>
    <d v="2026-08-17T00:00:00"/>
    <d v="2026-08-29T00:00:00"/>
    <x v="0"/>
    <m/>
    <x v="0"/>
    <n v="5"/>
    <x v="2"/>
  </r>
  <r>
    <x v="375"/>
    <s v="FIR-040"/>
    <s v="Firewall"/>
    <s v="Jenkins"/>
    <s v="CVE-2021-44228"/>
    <x v="0"/>
    <n v="10"/>
    <x v="123"/>
    <x v="1"/>
    <s v="Internal"/>
    <x v="1"/>
    <s v="Sales"/>
    <s v="Felipe Martins"/>
    <d v="2026-08-28T00:00:00"/>
    <d v="2026-09-04T00:00:00"/>
    <x v="0"/>
    <m/>
    <x v="0"/>
    <n v="7"/>
    <x v="3"/>
  </r>
  <r>
    <x v="376"/>
    <s v="LIN-062"/>
    <s v="Linux Server"/>
    <s v="OpenSSH"/>
    <s v="CVE-2026-2173"/>
    <x v="1"/>
    <n v="8.8000000000000007"/>
    <x v="271"/>
    <x v="1"/>
    <s v="Restricted"/>
    <x v="0"/>
    <s v="Finance"/>
    <s v="Bruno Lima"/>
    <d v="2026-09-07T00:00:00"/>
    <d v="2026-09-21T00:00:00"/>
    <x v="0"/>
    <m/>
    <x v="0"/>
    <n v="6"/>
    <x v="2"/>
  </r>
  <r>
    <x v="377"/>
    <s v="WIN-090"/>
    <s v="Windows Server"/>
    <s v="Apache HTTP Server"/>
    <s v="CVE-2024-6387"/>
    <x v="0"/>
    <n v="8.1"/>
    <x v="272"/>
    <x v="1"/>
    <s v="Internal"/>
    <x v="0"/>
    <s v="Finance"/>
    <s v="Bruno Lima"/>
    <d v="2026-08-28T00:00:00"/>
    <d v="2026-09-11T00:00:00"/>
    <x v="1"/>
    <m/>
    <x v="0"/>
    <n v="6"/>
    <x v="1"/>
  </r>
  <r>
    <x v="378"/>
    <s v="LIN-050"/>
    <s v="Linux Server"/>
    <s v="Jenkins"/>
    <s v="CVE-2026-2173"/>
    <x v="1"/>
    <n v="8.8000000000000007"/>
    <x v="273"/>
    <x v="1"/>
    <s v="Restricted"/>
    <x v="0"/>
    <s v="Finance"/>
    <s v="Ana Costa"/>
    <d v="2026-08-07T00:00:00"/>
    <d v="2026-08-18T00:00:00"/>
    <x v="2"/>
    <d v="2026-08-28T00:00:00"/>
    <x v="0"/>
    <n v="6"/>
    <x v="1"/>
  </r>
  <r>
    <x v="379"/>
    <s v="LIN-083"/>
    <s v="Linux Server"/>
    <s v="OpenSSH"/>
    <s v="CVE-2022-30190"/>
    <x v="0"/>
    <n v="7.8"/>
    <x v="274"/>
    <x v="1"/>
    <s v="Restricted"/>
    <x v="0"/>
    <s v="Sales"/>
    <s v="Felipe Martins"/>
    <d v="2026-08-05T00:00:00"/>
    <d v="2026-08-19T00:00:00"/>
    <x v="2"/>
    <d v="2026-08-07T00:00:00"/>
    <x v="0"/>
    <n v="5"/>
    <x v="1"/>
  </r>
  <r>
    <x v="380"/>
    <s v="WOR-093"/>
    <s v="Workstation"/>
    <s v="VMware ESXi"/>
    <s v="CVE-2025-3021"/>
    <x v="4"/>
    <n v="8.6"/>
    <x v="24"/>
    <x v="1"/>
    <s v="Internet-facing"/>
    <x v="0"/>
    <s v="Sales"/>
    <s v="Gabriela Souza"/>
    <d v="2026-08-10T00:00:00"/>
    <d v="2026-08-24T00:00:00"/>
    <x v="0"/>
    <m/>
    <x v="1"/>
    <n v="7"/>
    <x v="3"/>
  </r>
  <r>
    <x v="381"/>
    <s v="LIN-012"/>
    <s v="Linux Server"/>
    <s v="OpenSSH"/>
    <s v="CVE-2026-2173"/>
    <x v="1"/>
    <n v="8.8000000000000007"/>
    <x v="158"/>
    <x v="1"/>
    <s v="Restricted"/>
    <x v="0"/>
    <s v="Legal"/>
    <s v="Marcos Teixeira"/>
    <d v="2026-08-08T00:00:00"/>
    <d v="2026-08-22T00:00:00"/>
    <x v="3"/>
    <d v="2026-09-03T00:00:00"/>
    <x v="0"/>
    <n v="5"/>
    <x v="1"/>
  </r>
  <r>
    <x v="382"/>
    <s v="WOR-102"/>
    <s v="Workstation"/>
    <s v="PostgreSQL"/>
    <s v="CVE-2025-4912"/>
    <x v="5"/>
    <n v="9.1"/>
    <x v="275"/>
    <x v="1"/>
    <s v="Internal"/>
    <x v="0"/>
    <s v="Sales"/>
    <s v="Felipe Martins"/>
    <d v="2026-08-18T00:00:00"/>
    <d v="2026-08-25T00:00:00"/>
    <x v="0"/>
    <m/>
    <x v="0"/>
    <n v="7"/>
    <x v="3"/>
  </r>
  <r>
    <x v="383"/>
    <s v="WEB-077"/>
    <s v="Web Server"/>
    <s v="Windows Server"/>
    <s v="CVE-2021-44228"/>
    <x v="0"/>
    <n v="10"/>
    <x v="207"/>
    <x v="0"/>
    <s v="Internet-facing"/>
    <x v="1"/>
    <s v="Operations"/>
    <s v="Isabela Nunes"/>
    <d v="2026-08-02T00:00:00"/>
    <d v="2026-08-09T00:00:00"/>
    <x v="1"/>
    <m/>
    <x v="1"/>
    <n v="13"/>
    <x v="1"/>
  </r>
  <r>
    <x v="384"/>
    <s v="WEB-078"/>
    <s v="Web Server"/>
    <s v="PostgreSQL"/>
    <s v="CVE-2023-34362"/>
    <x v="3"/>
    <n v="9.8000000000000007"/>
    <x v="276"/>
    <x v="1"/>
    <s v="Internal"/>
    <x v="0"/>
    <s v="Engineering"/>
    <s v="Carla Mendes"/>
    <d v="2026-08-26T00:00:00"/>
    <d v="2026-09-02T00:00:00"/>
    <x v="2"/>
    <d v="2026-08-31T00:00:00"/>
    <x v="0"/>
    <n v="9"/>
    <x v="1"/>
  </r>
  <r>
    <x v="385"/>
    <s v="DAT-015"/>
    <s v="Database"/>
    <s v="Confluence"/>
    <s v="CVE-2025-3021"/>
    <x v="4"/>
    <n v="8.8000000000000007"/>
    <x v="103"/>
    <x v="1"/>
    <s v="Internet-facing"/>
    <x v="1"/>
    <s v="Sales"/>
    <s v="Felipe Martins"/>
    <d v="2026-09-10T00:00:00"/>
    <d v="2026-09-24T00:00:00"/>
    <x v="3"/>
    <d v="2026-10-15T00:00:00"/>
    <x v="1"/>
    <n v="7"/>
    <x v="1"/>
  </r>
  <r>
    <x v="386"/>
    <s v="WOR-017"/>
    <s v="Workstation"/>
    <s v="Windows Server"/>
    <s v="CVE-2024-3094"/>
    <x v="6"/>
    <n v="10"/>
    <x v="37"/>
    <x v="0"/>
    <s v="Internal"/>
    <x v="2"/>
    <s v="HR"/>
    <s v="Elisa Rocha"/>
    <d v="2026-09-04T00:00:00"/>
    <d v="2026-09-11T00:00:00"/>
    <x v="3"/>
    <d v="2026-10-06T00:00:00"/>
    <x v="0"/>
    <n v="9"/>
    <x v="1"/>
  </r>
  <r>
    <x v="387"/>
    <s v="WEB-009"/>
    <s v="Web Server"/>
    <s v="Microsoft SQL Server"/>
    <s v="CVE-2026-1847"/>
    <x v="0"/>
    <n v="9.8000000000000007"/>
    <x v="277"/>
    <x v="1"/>
    <s v="Internal"/>
    <x v="0"/>
    <s v="Finance"/>
    <s v="Bruno Lima"/>
    <d v="2026-08-14T00:00:00"/>
    <d v="2026-08-20T00:00:00"/>
    <x v="0"/>
    <m/>
    <x v="0"/>
    <n v="9"/>
    <x v="3"/>
  </r>
  <r>
    <x v="388"/>
    <s v="WOR-081"/>
    <s v="Workstation"/>
    <s v="Linux Kernel"/>
    <s v="CVE-2021-44228"/>
    <x v="0"/>
    <n v="10"/>
    <x v="278"/>
    <x v="1"/>
    <s v="Internal"/>
    <x v="2"/>
    <s v="Operations"/>
    <s v="Henrique Dias"/>
    <d v="2026-08-28T00:00:00"/>
    <d v="2026-09-04T00:00:00"/>
    <x v="0"/>
    <m/>
    <x v="0"/>
    <n v="7"/>
    <x v="3"/>
  </r>
  <r>
    <x v="389"/>
    <s v="WEB-069"/>
    <s v="Web Server"/>
    <s v="OpenSSH"/>
    <s v="CVE-2023-23397"/>
    <x v="1"/>
    <n v="9.8000000000000007"/>
    <x v="279"/>
    <x v="0"/>
    <s v="Internal"/>
    <x v="0"/>
    <s v="IT"/>
    <s v="João Ribeiro"/>
    <d v="2026-08-20T00:00:00"/>
    <d v="2026-08-25T00:00:00"/>
    <x v="1"/>
    <m/>
    <x v="0"/>
    <n v="11"/>
    <x v="1"/>
  </r>
  <r>
    <x v="390"/>
    <s v="WOR-051"/>
    <s v="Workstation"/>
    <s v="VMware ESXi"/>
    <s v="CVE-2023-23397"/>
    <x v="1"/>
    <n v="9.8000000000000007"/>
    <x v="280"/>
    <x v="1"/>
    <s v="Internal"/>
    <x v="2"/>
    <s v="Operations"/>
    <s v="Isabela Nunes"/>
    <d v="2026-08-05T00:00:00"/>
    <d v="2026-08-12T00:00:00"/>
    <x v="0"/>
    <m/>
    <x v="0"/>
    <n v="5"/>
    <x v="2"/>
  </r>
  <r>
    <x v="391"/>
    <s v="LIN-008"/>
    <s v="Linux Server"/>
    <s v="Apache HTTP Server"/>
    <s v="CVE-2025-3021"/>
    <x v="4"/>
    <n v="8.6"/>
    <x v="281"/>
    <x v="1"/>
    <s v="Internal"/>
    <x v="0"/>
    <s v="IT"/>
    <s v="Larissa Freitas"/>
    <d v="2026-08-28T00:00:00"/>
    <d v="2026-09-10T00:00:00"/>
    <x v="4"/>
    <m/>
    <x v="0"/>
    <n v="5"/>
    <x v="1"/>
  </r>
  <r>
    <x v="392"/>
    <s v="FIR-085"/>
    <s v="Firewall"/>
    <s v="OpenSSH"/>
    <s v="CVE-2021-44228"/>
    <x v="0"/>
    <n v="10"/>
    <x v="282"/>
    <x v="0"/>
    <s v="Internal"/>
    <x v="0"/>
    <s v="IT"/>
    <s v="João Ribeiro"/>
    <d v="2026-08-09T00:00:00"/>
    <d v="2026-08-16T00:00:00"/>
    <x v="0"/>
    <m/>
    <x v="0"/>
    <n v="11"/>
    <x v="0"/>
  </r>
  <r>
    <x v="393"/>
    <s v="WOR-067"/>
    <s v="Workstation"/>
    <s v="Jenkins"/>
    <s v="CVE-2023-34362"/>
    <x v="3"/>
    <n v="9.8000000000000007"/>
    <x v="40"/>
    <x v="1"/>
    <s v="Internet-facing"/>
    <x v="0"/>
    <s v="Sales"/>
    <s v="Gabriela Souza"/>
    <d v="2026-08-17T00:00:00"/>
    <d v="2026-08-22T00:00:00"/>
    <x v="0"/>
    <m/>
    <x v="1"/>
    <n v="10"/>
    <x v="0"/>
  </r>
  <r>
    <x v="394"/>
    <s v="WIN-099"/>
    <s v="Windows Server"/>
    <s v="FortiOS"/>
    <s v="CVE-2026-1847"/>
    <x v="0"/>
    <n v="10"/>
    <x v="15"/>
    <x v="1"/>
    <s v="Internet-facing"/>
    <x v="2"/>
    <s v="IT"/>
    <s v="João Ribeiro"/>
    <d v="2026-08-28T00:00:00"/>
    <d v="2026-09-04T00:00:00"/>
    <x v="1"/>
    <m/>
    <x v="1"/>
    <n v="8"/>
    <x v="1"/>
  </r>
  <r>
    <x v="395"/>
    <s v="FIR-074"/>
    <s v="Firewall"/>
    <s v="Apache HTTP Server"/>
    <s v="CVE-2022-30190"/>
    <x v="0"/>
    <n v="8"/>
    <x v="283"/>
    <x v="1"/>
    <s v="Internet-facing"/>
    <x v="0"/>
    <s v="HR"/>
    <s v="Elisa Rocha"/>
    <d v="2026-09-01T00:00:00"/>
    <d v="2026-09-15T00:00:00"/>
    <x v="1"/>
    <m/>
    <x v="1"/>
    <n v="9"/>
    <x v="1"/>
  </r>
  <r>
    <x v="396"/>
    <s v="DAT-110"/>
    <s v="Database"/>
    <s v="OpenSSH"/>
    <s v="CVE-2023-23397"/>
    <x v="1"/>
    <n v="9.8000000000000007"/>
    <x v="284"/>
    <x v="0"/>
    <s v="Internet-facing"/>
    <x v="0"/>
    <s v="Finance"/>
    <s v="Ana Costa"/>
    <d v="2026-08-17T00:00:00"/>
    <d v="2026-08-24T00:00:00"/>
    <x v="2"/>
    <d v="2026-08-26T00:00:00"/>
    <x v="1"/>
    <n v="12"/>
    <x v="1"/>
  </r>
  <r>
    <x v="397"/>
    <s v="WEB-001"/>
    <s v="Web Server"/>
    <s v="Microsoft Exchange"/>
    <s v="CVE-2026-1847"/>
    <x v="0"/>
    <n v="10"/>
    <x v="186"/>
    <x v="1"/>
    <s v="Internet-facing"/>
    <x v="0"/>
    <s v="IT"/>
    <s v="João Ribeiro"/>
    <d v="2026-08-16T00:00:00"/>
    <d v="2026-08-20T00:00:00"/>
    <x v="2"/>
    <d v="2026-09-11T00:00:00"/>
    <x v="1"/>
    <n v="10"/>
    <x v="1"/>
  </r>
  <r>
    <x v="398"/>
    <s v="WIN-071"/>
    <s v="Windows Server"/>
    <s v="Jenkins"/>
    <s v="CVE-2021-44228"/>
    <x v="0"/>
    <n v="10"/>
    <x v="285"/>
    <x v="1"/>
    <s v="Internal"/>
    <x v="2"/>
    <s v="Engineering"/>
    <s v="Diego Alves"/>
    <d v="2026-08-15T00:00:00"/>
    <d v="2026-08-22T00:00:00"/>
    <x v="0"/>
    <m/>
    <x v="0"/>
    <n v="8"/>
    <x v="3"/>
  </r>
  <r>
    <x v="399"/>
    <s v="WOR-035"/>
    <s v="Workstation"/>
    <s v="Windows Server"/>
    <s v="CVE-2026-2173"/>
    <x v="1"/>
    <n v="8.8000000000000007"/>
    <x v="102"/>
    <x v="1"/>
    <s v="Internet-facing"/>
    <x v="1"/>
    <s v="IT"/>
    <s v="João Ribeiro"/>
    <d v="2026-08-24T00:00:00"/>
    <d v="2026-09-06T00:00:00"/>
    <x v="0"/>
    <m/>
    <x v="1"/>
    <n v="5"/>
    <x v="2"/>
  </r>
  <r>
    <x v="400"/>
    <s v="WEB-006"/>
    <s v="Web Server"/>
    <s v="Apache HTTP Server"/>
    <s v="CVE-2024-3094"/>
    <x v="6"/>
    <n v="10"/>
    <x v="286"/>
    <x v="1"/>
    <s v="Internal"/>
    <x v="2"/>
    <s v="Engineering"/>
    <s v="Diego Alves"/>
    <d v="2026-08-19T00:00:00"/>
    <d v="2026-08-26T00:00:00"/>
    <x v="0"/>
    <m/>
    <x v="0"/>
    <n v="5"/>
    <x v="2"/>
  </r>
  <r>
    <x v="401"/>
    <s v="WIN-071"/>
    <s v="Windows Server"/>
    <s v="Microsoft Exchange"/>
    <s v="CVE-2024-21413"/>
    <x v="0"/>
    <n v="9.8000000000000007"/>
    <x v="6"/>
    <x v="0"/>
    <s v="Internal"/>
    <x v="1"/>
    <s v="HR"/>
    <s v="Elisa Rocha"/>
    <d v="2026-08-19T00:00:00"/>
    <d v="2026-08-26T00:00:00"/>
    <x v="0"/>
    <m/>
    <x v="0"/>
    <n v="10"/>
    <x v="0"/>
  </r>
  <r>
    <x v="402"/>
    <s v="WEB-032"/>
    <s v="Web Server"/>
    <s v="FortiOS"/>
    <s v="CVE-2024-21413"/>
    <x v="0"/>
    <n v="9.8000000000000007"/>
    <x v="287"/>
    <x v="0"/>
    <s v="Internal"/>
    <x v="2"/>
    <s v="IT"/>
    <s v="João Ribeiro"/>
    <d v="2026-09-01T00:00:00"/>
    <d v="2026-09-08T00:00:00"/>
    <x v="2"/>
    <d v="2026-09-15T00:00:00"/>
    <x v="0"/>
    <n v="8"/>
    <x v="1"/>
  </r>
  <r>
    <x v="403"/>
    <s v="WIN-120"/>
    <s v="Windows Server"/>
    <s v="Microsoft Exchange"/>
    <s v="CVE-2024-3094"/>
    <x v="6"/>
    <n v="10"/>
    <x v="44"/>
    <x v="0"/>
    <s v="Restricted"/>
    <x v="1"/>
    <s v="Engineering"/>
    <s v="Diego Alves"/>
    <d v="2026-08-23T00:00:00"/>
    <d v="2026-08-30T00:00:00"/>
    <x v="2"/>
    <d v="2026-08-25T00:00:00"/>
    <x v="0"/>
    <n v="10"/>
    <x v="1"/>
  </r>
  <r>
    <x v="404"/>
    <s v="FIR-049"/>
    <s v="Firewall"/>
    <s v="Jenkins"/>
    <s v="CVE-2021-44228"/>
    <x v="0"/>
    <n v="10"/>
    <x v="288"/>
    <x v="0"/>
    <s v="Internet-facing"/>
    <x v="0"/>
    <s v="Finance"/>
    <s v="Bruno Lima"/>
    <d v="2026-08-14T00:00:00"/>
    <d v="2026-08-21T00:00:00"/>
    <x v="3"/>
    <d v="2026-08-31T00:00:00"/>
    <x v="1"/>
    <n v="13"/>
    <x v="1"/>
  </r>
  <r>
    <x v="405"/>
    <s v="WIN-019"/>
    <s v="Windows Server"/>
    <s v="Microsoft SQL Server"/>
    <s v="CVE-2021-44228"/>
    <x v="0"/>
    <n v="10"/>
    <x v="289"/>
    <x v="0"/>
    <s v="Restricted"/>
    <x v="1"/>
    <s v="Sales"/>
    <s v="Gabriela Souza"/>
    <d v="2026-08-15T00:00:00"/>
    <d v="2026-08-22T00:00:00"/>
    <x v="1"/>
    <m/>
    <x v="0"/>
    <n v="11"/>
    <x v="1"/>
  </r>
  <r>
    <x v="406"/>
    <s v="WOR-059"/>
    <s v="Workstation"/>
    <s v="Apache HTTP Server"/>
    <s v="CVE-2021-44228"/>
    <x v="0"/>
    <n v="10"/>
    <x v="290"/>
    <x v="0"/>
    <s v="Internet-facing"/>
    <x v="0"/>
    <s v="IT"/>
    <s v="João Ribeiro"/>
    <d v="2026-09-02T00:00:00"/>
    <d v="2026-09-05T00:00:00"/>
    <x v="1"/>
    <m/>
    <x v="1"/>
    <n v="14"/>
    <x v="1"/>
  </r>
  <r>
    <x v="407"/>
    <s v="WEB-008"/>
    <s v="Web Server"/>
    <s v="VMware ESXi"/>
    <s v="CVE-2024-3094"/>
    <x v="6"/>
    <n v="10"/>
    <x v="291"/>
    <x v="1"/>
    <s v="Internal"/>
    <x v="0"/>
    <s v="Operations"/>
    <s v="Isabela Nunes"/>
    <d v="2026-08-16T00:00:00"/>
    <d v="2026-08-23T00:00:00"/>
    <x v="0"/>
    <m/>
    <x v="0"/>
    <n v="8"/>
    <x v="3"/>
  </r>
  <r>
    <x v="408"/>
    <s v="DAT-090"/>
    <s v="Database"/>
    <s v="FortiOS"/>
    <s v="CVE-2021-44228"/>
    <x v="0"/>
    <n v="10"/>
    <x v="292"/>
    <x v="0"/>
    <s v="Internet-facing"/>
    <x v="0"/>
    <s v="Legal"/>
    <s v="Marcos Teixeira"/>
    <d v="2026-08-18T00:00:00"/>
    <d v="2026-08-25T00:00:00"/>
    <x v="0"/>
    <m/>
    <x v="1"/>
    <n v="14"/>
    <x v="4"/>
  </r>
  <r>
    <x v="409"/>
    <s v="WEB-014"/>
    <s v="Web Server"/>
    <s v="Apache HTTP Server"/>
    <s v="CVE-2025-4912"/>
    <x v="5"/>
    <n v="9.1"/>
    <x v="293"/>
    <x v="1"/>
    <s v="Internal"/>
    <x v="1"/>
    <s v="Engineering"/>
    <s v="Diego Alves"/>
    <d v="2026-08-11T00:00:00"/>
    <d v="2026-08-18T00:00:00"/>
    <x v="3"/>
    <d v="2026-09-02T00:00:00"/>
    <x v="0"/>
    <n v="4"/>
    <x v="1"/>
  </r>
  <r>
    <x v="410"/>
    <s v="WEB-046"/>
    <s v="Web Server"/>
    <s v="Confluence"/>
    <s v="CVE-2025-3021"/>
    <x v="4"/>
    <n v="8.8000000000000007"/>
    <x v="294"/>
    <x v="1"/>
    <s v="Internet-facing"/>
    <x v="1"/>
    <s v="Finance"/>
    <s v="Ana Costa"/>
    <d v="2026-08-20T00:00:00"/>
    <d v="2026-09-03T00:00:00"/>
    <x v="3"/>
    <d v="2026-08-29T00:00:00"/>
    <x v="1"/>
    <n v="6"/>
    <x v="1"/>
  </r>
  <r>
    <x v="411"/>
    <s v="FIR-039"/>
    <s v="Firewall"/>
    <s v="Jenkins"/>
    <s v="CVE-2021-44228"/>
    <x v="0"/>
    <n v="10"/>
    <x v="295"/>
    <x v="0"/>
    <s v="Internet-facing"/>
    <x v="1"/>
    <s v="Engineering"/>
    <s v="Diego Alves"/>
    <d v="2026-08-14T00:00:00"/>
    <d v="2026-08-21T00:00:00"/>
    <x v="0"/>
    <m/>
    <x v="1"/>
    <n v="14"/>
    <x v="4"/>
  </r>
  <r>
    <x v="412"/>
    <s v="WIN-092"/>
    <s v="Windows Server"/>
    <s v="FortiOS"/>
    <s v="CVE-2025-3021"/>
    <x v="4"/>
    <n v="8.6"/>
    <x v="296"/>
    <x v="1"/>
    <s v="Internal"/>
    <x v="0"/>
    <s v="Engineering"/>
    <s v="Diego Alves"/>
    <d v="2026-08-26T00:00:00"/>
    <d v="2026-09-09T00:00:00"/>
    <x v="3"/>
    <d v="2026-09-16T00:00:00"/>
    <x v="0"/>
    <n v="6"/>
    <x v="1"/>
  </r>
  <r>
    <x v="413"/>
    <s v="LIN-004"/>
    <s v="Linux Server"/>
    <s v="Confluence"/>
    <s v="CVE-2024-3094"/>
    <x v="6"/>
    <n v="10"/>
    <x v="297"/>
    <x v="0"/>
    <s v="Internal"/>
    <x v="0"/>
    <s v="Legal"/>
    <s v="Marcos Teixeira"/>
    <d v="2026-09-05T00:00:00"/>
    <d v="2026-09-12T00:00:00"/>
    <x v="2"/>
    <d v="2026-10-06T00:00:00"/>
    <x v="0"/>
    <n v="12"/>
    <x v="1"/>
  </r>
  <r>
    <x v="414"/>
    <s v="LIN-016"/>
    <s v="Linux Server"/>
    <s v="Microsoft Exchange"/>
    <s v="CVE-2026-1847"/>
    <x v="0"/>
    <n v="10"/>
    <x v="298"/>
    <x v="1"/>
    <s v="Internet-facing"/>
    <x v="1"/>
    <s v="Legal"/>
    <s v="Marcos Teixeira"/>
    <d v="2026-08-15T00:00:00"/>
    <d v="2026-08-18T00:00:00"/>
    <x v="0"/>
    <m/>
    <x v="1"/>
    <n v="10"/>
    <x v="0"/>
  </r>
  <r>
    <x v="415"/>
    <s v="FIR-083"/>
    <s v="Firewall"/>
    <s v="Windows Server"/>
    <s v="CVE-2026-2173"/>
    <x v="1"/>
    <n v="8.8000000000000007"/>
    <x v="260"/>
    <x v="1"/>
    <s v="Internal"/>
    <x v="0"/>
    <s v="IT"/>
    <s v="João Ribeiro"/>
    <d v="2026-09-07T00:00:00"/>
    <d v="2026-09-21T00:00:00"/>
    <x v="0"/>
    <m/>
    <x v="0"/>
    <n v="4"/>
    <x v="2"/>
  </r>
  <r>
    <x v="416"/>
    <s v="WIN-026"/>
    <s v="Windows Server"/>
    <s v="Confluence"/>
    <s v="CVE-2022-30190"/>
    <x v="0"/>
    <n v="7.8"/>
    <x v="299"/>
    <x v="1"/>
    <s v="Internal"/>
    <x v="0"/>
    <s v="Finance"/>
    <s v="Ana Costa"/>
    <d v="2026-08-09T00:00:00"/>
    <d v="2026-08-20T00:00:00"/>
    <x v="3"/>
    <d v="2026-08-18T00:00:00"/>
    <x v="0"/>
    <n v="7"/>
    <x v="1"/>
  </r>
  <r>
    <x v="417"/>
    <s v="WIN-022"/>
    <s v="Windows Server"/>
    <s v="GitLab"/>
    <s v="CVE-2023-23397"/>
    <x v="1"/>
    <n v="9.8000000000000007"/>
    <x v="300"/>
    <x v="1"/>
    <s v="Internal"/>
    <x v="2"/>
    <s v="Sales"/>
    <s v="Gabriela Souza"/>
    <d v="2026-08-26T00:00:00"/>
    <d v="2026-09-02T00:00:00"/>
    <x v="0"/>
    <m/>
    <x v="0"/>
    <n v="5"/>
    <x v="2"/>
  </r>
  <r>
    <x v="418"/>
    <s v="DAT-023"/>
    <s v="Database"/>
    <s v="PostgreSQL"/>
    <s v="CVE-2024-6387"/>
    <x v="0"/>
    <n v="8.1"/>
    <x v="186"/>
    <x v="1"/>
    <s v="Internet-facing"/>
    <x v="2"/>
    <s v="IT"/>
    <s v="João Ribeiro"/>
    <d v="2026-08-18T00:00:00"/>
    <d v="2026-09-01T00:00:00"/>
    <x v="2"/>
    <d v="2026-08-29T00:00:00"/>
    <x v="1"/>
    <n v="5"/>
    <x v="1"/>
  </r>
  <r>
    <x v="419"/>
    <s v="WEB-079"/>
    <s v="Web Server"/>
    <s v="VMware ESXi"/>
    <s v="CVE-2025-3021"/>
    <x v="4"/>
    <n v="8.6"/>
    <x v="301"/>
    <x v="1"/>
    <s v="Restricted"/>
    <x v="2"/>
    <s v="Operations"/>
    <s v="Henrique Dias"/>
    <d v="2026-08-19T00:00:00"/>
    <d v="2026-09-02T00:00:00"/>
    <x v="2"/>
    <d v="2026-09-20T00:00:00"/>
    <x v="0"/>
    <n v="4"/>
    <x v="1"/>
  </r>
  <r>
    <x v="420"/>
    <s v="WOR-050"/>
    <s v="Workstation"/>
    <s v="GitLab"/>
    <s v="CVE-2025-4912"/>
    <x v="5"/>
    <n v="9.1"/>
    <x v="302"/>
    <x v="1"/>
    <s v="Internal"/>
    <x v="1"/>
    <s v="Finance"/>
    <s v="Ana Costa"/>
    <d v="2026-08-13T00:00:00"/>
    <d v="2026-08-20T00:00:00"/>
    <x v="0"/>
    <m/>
    <x v="0"/>
    <n v="6"/>
    <x v="2"/>
  </r>
  <r>
    <x v="421"/>
    <s v="WEB-102"/>
    <s v="Web Server"/>
    <s v="GitLab"/>
    <s v="CVE-2026-1847"/>
    <x v="0"/>
    <n v="9.8000000000000007"/>
    <x v="303"/>
    <x v="1"/>
    <s v="Internal"/>
    <x v="0"/>
    <s v="IT"/>
    <s v="Larissa Freitas"/>
    <d v="2026-08-23T00:00:00"/>
    <d v="2026-08-30T00:00:00"/>
    <x v="1"/>
    <m/>
    <x v="0"/>
    <n v="8"/>
    <x v="1"/>
  </r>
  <r>
    <x v="422"/>
    <s v="WEB-065"/>
    <s v="Web Server"/>
    <s v="GitLab"/>
    <s v="CVE-2024-6387"/>
    <x v="0"/>
    <n v="8.1"/>
    <x v="42"/>
    <x v="0"/>
    <s v="Internal"/>
    <x v="0"/>
    <s v="HR"/>
    <s v="Elisa Rocha"/>
    <d v="2026-08-02T00:00:00"/>
    <d v="2026-08-16T00:00:00"/>
    <x v="3"/>
    <d v="2026-08-18T00:00:00"/>
    <x v="0"/>
    <n v="9"/>
    <x v="1"/>
  </r>
  <r>
    <x v="423"/>
    <s v="WOR-008"/>
    <s v="Workstation"/>
    <s v="Linux Kernel"/>
    <s v="CVE-2024-21413"/>
    <x v="0"/>
    <n v="9.8000000000000007"/>
    <x v="254"/>
    <x v="0"/>
    <s v="Restricted"/>
    <x v="0"/>
    <s v="Legal"/>
    <s v="Marcos Teixeira"/>
    <d v="2026-09-07T00:00:00"/>
    <d v="2026-09-14T00:00:00"/>
    <x v="3"/>
    <d v="2026-09-19T00:00:00"/>
    <x v="0"/>
    <n v="11"/>
    <x v="1"/>
  </r>
  <r>
    <x v="424"/>
    <s v="FIR-031"/>
    <s v="Firewall"/>
    <s v="Linux Kernel"/>
    <s v="CVE-2025-7710"/>
    <x v="2"/>
    <n v="7.5"/>
    <x v="173"/>
    <x v="1"/>
    <s v="Internal"/>
    <x v="0"/>
    <s v="Engineering"/>
    <s v="Carla Mendes"/>
    <d v="2026-08-04T00:00:00"/>
    <d v="2026-08-18T00:00:00"/>
    <x v="0"/>
    <m/>
    <x v="0"/>
    <n v="5"/>
    <x v="2"/>
  </r>
  <r>
    <x v="425"/>
    <s v="DAT-046"/>
    <s v="Database"/>
    <s v="OpenSSH"/>
    <s v="CVE-2025-4912"/>
    <x v="5"/>
    <n v="9.3000000000000007"/>
    <x v="304"/>
    <x v="1"/>
    <s v="Internet-facing"/>
    <x v="0"/>
    <s v="Operations"/>
    <s v="Henrique Dias"/>
    <d v="2026-08-16T00:00:00"/>
    <d v="2026-08-23T00:00:00"/>
    <x v="2"/>
    <d v="2026-09-09T00:00:00"/>
    <x v="1"/>
    <n v="10"/>
    <x v="1"/>
  </r>
  <r>
    <x v="426"/>
    <s v="FIR-046"/>
    <s v="Firewall"/>
    <s v="Windows Server"/>
    <s v="CVE-2023-23397"/>
    <x v="1"/>
    <n v="9.8000000000000007"/>
    <x v="305"/>
    <x v="0"/>
    <s v="Internal"/>
    <x v="1"/>
    <s v="IT"/>
    <s v="Larissa Freitas"/>
    <d v="2026-08-13T00:00:00"/>
    <d v="2026-08-20T00:00:00"/>
    <x v="2"/>
    <d v="2026-09-15T00:00:00"/>
    <x v="0"/>
    <n v="11"/>
    <x v="1"/>
  </r>
  <r>
    <x v="427"/>
    <s v="DAT-005"/>
    <s v="Database"/>
    <s v="Microsoft Exchange"/>
    <s v="CVE-2026-2173"/>
    <x v="1"/>
    <n v="8.8000000000000007"/>
    <x v="108"/>
    <x v="1"/>
    <s v="Internal"/>
    <x v="1"/>
    <s v="Engineering"/>
    <s v="Carla Mendes"/>
    <d v="2026-08-15T00:00:00"/>
    <d v="2026-08-29T00:00:00"/>
    <x v="0"/>
    <m/>
    <x v="0"/>
    <n v="5"/>
    <x v="2"/>
  </r>
  <r>
    <x v="428"/>
    <s v="DAT-001"/>
    <s v="Database"/>
    <s v="Windows Server"/>
    <s v="CVE-2024-6387"/>
    <x v="0"/>
    <n v="8.1"/>
    <x v="306"/>
    <x v="0"/>
    <s v="Restricted"/>
    <x v="0"/>
    <s v="Operations"/>
    <s v="Henrique Dias"/>
    <d v="2026-08-09T00:00:00"/>
    <d v="2026-08-23T00:00:00"/>
    <x v="1"/>
    <m/>
    <x v="0"/>
    <n v="9"/>
    <x v="1"/>
  </r>
  <r>
    <x v="429"/>
    <s v="WOR-008"/>
    <s v="Workstation"/>
    <s v="OpenSSH"/>
    <s v="CVE-2026-1847"/>
    <x v="0"/>
    <n v="9.8000000000000007"/>
    <x v="307"/>
    <x v="1"/>
    <s v="Internal"/>
    <x v="1"/>
    <s v="Legal"/>
    <s v="Marcos Teixeira"/>
    <d v="2026-09-07T00:00:00"/>
    <d v="2026-09-14T00:00:00"/>
    <x v="0"/>
    <m/>
    <x v="0"/>
    <n v="7"/>
    <x v="3"/>
  </r>
  <r>
    <x v="430"/>
    <s v="WIN-109"/>
    <s v="Windows Server"/>
    <s v="FortiOS"/>
    <s v="CVE-2023-34362"/>
    <x v="3"/>
    <n v="9.8000000000000007"/>
    <x v="160"/>
    <x v="1"/>
    <s v="Internal"/>
    <x v="0"/>
    <s v="Legal"/>
    <s v="Marcos Teixeira"/>
    <d v="2026-08-05T00:00:00"/>
    <d v="2026-08-12T00:00:00"/>
    <x v="1"/>
    <m/>
    <x v="0"/>
    <n v="7"/>
    <x v="1"/>
  </r>
  <r>
    <x v="431"/>
    <s v="WIN-044"/>
    <s v="Windows Server"/>
    <s v="FortiOS"/>
    <s v="CVE-2025-7710"/>
    <x v="2"/>
    <n v="7.5"/>
    <x v="308"/>
    <x v="1"/>
    <s v="Internet-facing"/>
    <x v="0"/>
    <s v="Operations"/>
    <s v="Isabela Nunes"/>
    <d v="2026-08-09T00:00:00"/>
    <d v="2026-08-23T00:00:00"/>
    <x v="0"/>
    <m/>
    <x v="1"/>
    <n v="7"/>
    <x v="3"/>
  </r>
  <r>
    <x v="432"/>
    <s v="FIR-063"/>
    <s v="Firewall"/>
    <s v="FortiOS"/>
    <s v="CVE-2022-30190"/>
    <x v="0"/>
    <n v="7.8"/>
    <x v="309"/>
    <x v="1"/>
    <s v="Internal"/>
    <x v="0"/>
    <s v="Legal"/>
    <s v="Marcos Teixeira"/>
    <d v="2026-08-12T00:00:00"/>
    <d v="2026-08-26T00:00:00"/>
    <x v="3"/>
    <d v="2026-09-05T00:00:00"/>
    <x v="0"/>
    <n v="4"/>
    <x v="1"/>
  </r>
  <r>
    <x v="433"/>
    <s v="WEB-105"/>
    <s v="Web Server"/>
    <s v="GitLab"/>
    <s v="CVE-2025-4912"/>
    <x v="5"/>
    <n v="9.1"/>
    <x v="46"/>
    <x v="1"/>
    <s v="Internal"/>
    <x v="0"/>
    <s v="IT"/>
    <s v="Larissa Freitas"/>
    <d v="2026-08-20T00:00:00"/>
    <d v="2026-08-27T00:00:00"/>
    <x v="4"/>
    <m/>
    <x v="0"/>
    <n v="7"/>
    <x v="1"/>
  </r>
  <r>
    <x v="434"/>
    <s v="LIN-094"/>
    <s v="Linux Server"/>
    <s v="Jenkins"/>
    <s v="CVE-2026-1847"/>
    <x v="0"/>
    <n v="9.8000000000000007"/>
    <x v="101"/>
    <x v="1"/>
    <s v="Internal"/>
    <x v="1"/>
    <s v="Engineering"/>
    <s v="Carla Mendes"/>
    <d v="2026-09-06T00:00:00"/>
    <d v="2026-09-13T00:00:00"/>
    <x v="0"/>
    <m/>
    <x v="0"/>
    <n v="7"/>
    <x v="3"/>
  </r>
  <r>
    <x v="435"/>
    <s v="WEB-041"/>
    <s v="Web Server"/>
    <s v="PostgreSQL"/>
    <s v="CVE-2023-23397"/>
    <x v="1"/>
    <n v="9.8000000000000007"/>
    <x v="310"/>
    <x v="0"/>
    <s v="Restricted"/>
    <x v="0"/>
    <s v="Engineering"/>
    <s v="Carla Mendes"/>
    <d v="2026-08-07T00:00:00"/>
    <d v="2026-08-14T00:00:00"/>
    <x v="0"/>
    <m/>
    <x v="0"/>
    <n v="10"/>
    <x v="0"/>
  </r>
  <r>
    <x v="436"/>
    <s v="FIR-010"/>
    <s v="Firewall"/>
    <s v="FortiOS"/>
    <s v="CVE-2025-3021"/>
    <x v="4"/>
    <n v="8.6"/>
    <x v="165"/>
    <x v="1"/>
    <s v="Internal"/>
    <x v="0"/>
    <s v="HR"/>
    <s v="Elisa Rocha"/>
    <d v="2026-08-21T00:00:00"/>
    <d v="2026-09-03T00:00:00"/>
    <x v="2"/>
    <d v="2026-09-13T00:00:00"/>
    <x v="0"/>
    <n v="5"/>
    <x v="1"/>
  </r>
  <r>
    <x v="437"/>
    <s v="WOR-027"/>
    <s v="Workstation"/>
    <s v="Jenkins"/>
    <s v="CVE-2025-3021"/>
    <x v="4"/>
    <n v="8.6"/>
    <x v="102"/>
    <x v="1"/>
    <s v="Internal"/>
    <x v="1"/>
    <s v="Finance"/>
    <s v="Ana Costa"/>
    <d v="2026-08-05T00:00:00"/>
    <d v="2026-08-19T00:00:00"/>
    <x v="0"/>
    <m/>
    <x v="0"/>
    <n v="3"/>
    <x v="2"/>
  </r>
  <r>
    <x v="438"/>
    <s v="WIN-007"/>
    <s v="Windows Server"/>
    <s v="Confluence"/>
    <s v="CVE-2024-3094"/>
    <x v="6"/>
    <n v="10"/>
    <x v="280"/>
    <x v="1"/>
    <s v="Restricted"/>
    <x v="1"/>
    <s v="IT"/>
    <s v="Larissa Freitas"/>
    <d v="2026-08-11T00:00:00"/>
    <d v="2026-08-18T00:00:00"/>
    <x v="0"/>
    <m/>
    <x v="0"/>
    <n v="7"/>
    <x v="3"/>
  </r>
  <r>
    <x v="439"/>
    <s v="WOR-070"/>
    <s v="Workstation"/>
    <s v="Apache HTTP Server"/>
    <s v="CVE-2024-3094"/>
    <x v="6"/>
    <n v="10"/>
    <x v="254"/>
    <x v="1"/>
    <s v="Internet-facing"/>
    <x v="0"/>
    <s v="Sales"/>
    <s v="Felipe Martins"/>
    <d v="2026-09-06T00:00:00"/>
    <d v="2026-09-13T00:00:00"/>
    <x v="1"/>
    <m/>
    <x v="1"/>
    <n v="11"/>
    <x v="1"/>
  </r>
  <r>
    <x v="440"/>
    <s v="DAT-010"/>
    <s v="Database"/>
    <s v="Microsoft SQL Server"/>
    <s v="CVE-2026-1847"/>
    <x v="0"/>
    <n v="9.8000000000000007"/>
    <x v="213"/>
    <x v="1"/>
    <s v="Internal"/>
    <x v="1"/>
    <s v="Engineering"/>
    <s v="Carla Mendes"/>
    <d v="2026-08-02T00:00:00"/>
    <d v="2026-08-09T00:00:00"/>
    <x v="0"/>
    <m/>
    <x v="0"/>
    <n v="7"/>
    <x v="3"/>
  </r>
  <r>
    <x v="441"/>
    <s v="WOR-022"/>
    <s v="Workstation"/>
    <s v="OpenSSH"/>
    <s v="CVE-2024-3094"/>
    <x v="6"/>
    <n v="10"/>
    <x v="244"/>
    <x v="1"/>
    <s v="Restricted"/>
    <x v="2"/>
    <s v="Finance"/>
    <s v="Ana Costa"/>
    <d v="2026-09-05T00:00:00"/>
    <d v="2026-09-12T00:00:00"/>
    <x v="4"/>
    <m/>
    <x v="0"/>
    <n v="6"/>
    <x v="1"/>
  </r>
  <r>
    <x v="442"/>
    <s v="WEB-079"/>
    <s v="Web Server"/>
    <s v="Jenkins"/>
    <s v="CVE-2024-21413"/>
    <x v="0"/>
    <n v="9.8000000000000007"/>
    <x v="19"/>
    <x v="0"/>
    <s v="Internal"/>
    <x v="1"/>
    <s v="HR"/>
    <s v="Elisa Rocha"/>
    <d v="2026-08-11T00:00:00"/>
    <d v="2026-08-18T00:00:00"/>
    <x v="2"/>
    <d v="2026-09-09T00:00:00"/>
    <x v="0"/>
    <n v="10"/>
    <x v="1"/>
  </r>
  <r>
    <x v="443"/>
    <s v="WIN-043"/>
    <s v="Windows Server"/>
    <s v="PostgreSQL"/>
    <s v="CVE-2025-3021"/>
    <x v="4"/>
    <n v="8.6"/>
    <x v="311"/>
    <x v="1"/>
    <s v="Internal"/>
    <x v="2"/>
    <s v="Finance"/>
    <s v="Bruno Lima"/>
    <d v="2026-08-27T00:00:00"/>
    <d v="2026-09-10T00:00:00"/>
    <x v="0"/>
    <m/>
    <x v="0"/>
    <n v="5"/>
    <x v="2"/>
  </r>
  <r>
    <x v="444"/>
    <s v="WOR-039"/>
    <s v="Workstation"/>
    <s v="Apache HTTP Server"/>
    <s v="CVE-2025-3021"/>
    <x v="4"/>
    <n v="8.6"/>
    <x v="312"/>
    <x v="1"/>
    <s v="Internal"/>
    <x v="0"/>
    <s v="IT"/>
    <s v="João Ribeiro"/>
    <d v="2026-08-04T00:00:00"/>
    <d v="2026-08-18T00:00:00"/>
    <x v="2"/>
    <d v="2026-09-06T00:00:00"/>
    <x v="0"/>
    <n v="5"/>
    <x v="1"/>
  </r>
  <r>
    <x v="445"/>
    <s v="WOR-001"/>
    <s v="Workstation"/>
    <s v="Apache HTTP Server"/>
    <s v="CVE-2024-3094"/>
    <x v="6"/>
    <n v="10"/>
    <x v="217"/>
    <x v="0"/>
    <s v="Internet-facing"/>
    <x v="1"/>
    <s v="Finance"/>
    <s v="Ana Costa"/>
    <d v="2026-09-10T00:00:00"/>
    <d v="2026-09-17T00:00:00"/>
    <x v="3"/>
    <d v="2026-09-24T00:00:00"/>
    <x v="1"/>
    <n v="13"/>
    <x v="1"/>
  </r>
  <r>
    <x v="446"/>
    <s v="LIN-022"/>
    <s v="Linux Server"/>
    <s v="Microsoft SQL Server"/>
    <s v="CVE-2022-30190"/>
    <x v="0"/>
    <n v="7.8"/>
    <x v="313"/>
    <x v="1"/>
    <s v="Restricted"/>
    <x v="2"/>
    <s v="Finance"/>
    <s v="Ana Costa"/>
    <d v="2026-08-06T00:00:00"/>
    <d v="2026-08-20T00:00:00"/>
    <x v="0"/>
    <m/>
    <x v="0"/>
    <n v="3"/>
    <x v="2"/>
  </r>
  <r>
    <x v="447"/>
    <s v="DAT-061"/>
    <s v="Database"/>
    <s v="VMware ESXi"/>
    <s v="CVE-2024-21413"/>
    <x v="0"/>
    <n v="10"/>
    <x v="24"/>
    <x v="0"/>
    <s v="Internet-facing"/>
    <x v="2"/>
    <s v="HR"/>
    <s v="Elisa Rocha"/>
    <d v="2026-09-04T00:00:00"/>
    <d v="2026-09-11T00:00:00"/>
    <x v="3"/>
    <d v="2026-09-29T00:00:00"/>
    <x v="1"/>
    <n v="11"/>
    <x v="1"/>
  </r>
  <r>
    <x v="448"/>
    <s v="LIN-058"/>
    <s v="Linux Server"/>
    <s v="Microsoft SQL Server"/>
    <s v="CVE-2026-1847"/>
    <x v="0"/>
    <n v="9.8000000000000007"/>
    <x v="314"/>
    <x v="1"/>
    <s v="Internet-facing"/>
    <x v="2"/>
    <s v="HR"/>
    <s v="Elisa Rocha"/>
    <d v="2026-08-29T00:00:00"/>
    <d v="2026-09-05T00:00:00"/>
    <x v="0"/>
    <m/>
    <x v="1"/>
    <n v="9"/>
    <x v="3"/>
  </r>
  <r>
    <x v="449"/>
    <s v="WOR-073"/>
    <s v="Workstation"/>
    <s v="OpenSSH"/>
    <s v="CVE-2026-1847"/>
    <x v="0"/>
    <n v="9.8000000000000007"/>
    <x v="134"/>
    <x v="1"/>
    <s v="Internal"/>
    <x v="0"/>
    <s v="Legal"/>
    <s v="Marcos Teixeira"/>
    <d v="2026-08-07T00:00:00"/>
    <d v="2026-08-11T00:00:00"/>
    <x v="0"/>
    <m/>
    <x v="0"/>
    <n v="8"/>
    <x v="3"/>
  </r>
  <r>
    <x v="450"/>
    <s v="WEB-030"/>
    <s v="Web Server"/>
    <s v="Microsoft Exchange"/>
    <s v="CVE-2023-34362"/>
    <x v="3"/>
    <n v="9.8000000000000007"/>
    <x v="315"/>
    <x v="1"/>
    <s v="Internal"/>
    <x v="0"/>
    <s v="Legal"/>
    <s v="Marcos Teixeira"/>
    <d v="2026-08-25T00:00:00"/>
    <d v="2026-09-01T00:00:00"/>
    <x v="1"/>
    <m/>
    <x v="0"/>
    <n v="9"/>
    <x v="1"/>
  </r>
  <r>
    <x v="451"/>
    <s v="FIR-111"/>
    <s v="Firewall"/>
    <s v="Windows Server"/>
    <s v="CVE-2024-21413"/>
    <x v="0"/>
    <n v="9.8000000000000007"/>
    <x v="96"/>
    <x v="1"/>
    <s v="Internal"/>
    <x v="1"/>
    <s v="Operations"/>
    <s v="Isabela Nunes"/>
    <d v="2026-08-31T00:00:00"/>
    <d v="2026-09-07T00:00:00"/>
    <x v="0"/>
    <m/>
    <x v="0"/>
    <n v="7"/>
    <x v="3"/>
  </r>
  <r>
    <x v="452"/>
    <s v="FIR-005"/>
    <s v="Firewall"/>
    <s v="Windows Server"/>
    <s v="CVE-2023-34362"/>
    <x v="3"/>
    <n v="9.8000000000000007"/>
    <x v="316"/>
    <x v="1"/>
    <s v="Internal"/>
    <x v="0"/>
    <s v="Legal"/>
    <s v="Marcos Teixeira"/>
    <d v="2026-09-03T00:00:00"/>
    <d v="2026-09-10T00:00:00"/>
    <x v="0"/>
    <m/>
    <x v="0"/>
    <n v="8"/>
    <x v="3"/>
  </r>
  <r>
    <x v="453"/>
    <s v="DAT-023"/>
    <s v="Database"/>
    <s v="PostgreSQL"/>
    <s v="CVE-2025-4912"/>
    <x v="5"/>
    <n v="9.1"/>
    <x v="160"/>
    <x v="1"/>
    <s v="Internal"/>
    <x v="1"/>
    <s v="Finance"/>
    <s v="Ana Costa"/>
    <d v="2026-08-13T00:00:00"/>
    <d v="2026-08-16T00:00:00"/>
    <x v="4"/>
    <m/>
    <x v="0"/>
    <n v="5"/>
    <x v="1"/>
  </r>
  <r>
    <x v="454"/>
    <s v="DAT-026"/>
    <s v="Database"/>
    <s v="OpenSSH"/>
    <s v="CVE-2022-30190"/>
    <x v="0"/>
    <n v="8"/>
    <x v="226"/>
    <x v="1"/>
    <s v="Internet-facing"/>
    <x v="0"/>
    <s v="IT"/>
    <s v="João Ribeiro"/>
    <d v="2026-09-08T00:00:00"/>
    <d v="2026-09-22T00:00:00"/>
    <x v="1"/>
    <m/>
    <x v="1"/>
    <n v="7"/>
    <x v="1"/>
  </r>
  <r>
    <x v="455"/>
    <s v="DAT-072"/>
    <s v="Database"/>
    <s v="Linux Kernel"/>
    <s v="CVE-2024-3094"/>
    <x v="6"/>
    <n v="10"/>
    <x v="215"/>
    <x v="0"/>
    <s v="Internet-facing"/>
    <x v="0"/>
    <s v="Finance"/>
    <s v="Ana Costa"/>
    <d v="2026-08-18T00:00:00"/>
    <d v="2026-08-25T00:00:00"/>
    <x v="4"/>
    <m/>
    <x v="1"/>
    <n v="14"/>
    <x v="1"/>
  </r>
  <r>
    <x v="456"/>
    <s v="FIR-080"/>
    <s v="Firewall"/>
    <s v="Linux Kernel"/>
    <s v="CVE-2023-23397"/>
    <x v="1"/>
    <n v="9.8000000000000007"/>
    <x v="317"/>
    <x v="1"/>
    <s v="Internal"/>
    <x v="0"/>
    <s v="Legal"/>
    <s v="Marcos Teixeira"/>
    <d v="2026-08-08T00:00:00"/>
    <d v="2026-08-15T00:00:00"/>
    <x v="1"/>
    <m/>
    <x v="0"/>
    <n v="8"/>
    <x v="1"/>
  </r>
  <r>
    <x v="457"/>
    <s v="WEB-075"/>
    <s v="Web Server"/>
    <s v="Apache HTTP Server"/>
    <s v="CVE-2026-2173"/>
    <x v="1"/>
    <n v="8.8000000000000007"/>
    <x v="39"/>
    <x v="1"/>
    <s v="Internal"/>
    <x v="1"/>
    <s v="Operations"/>
    <s v="Isabela Nunes"/>
    <d v="2026-09-06T00:00:00"/>
    <d v="2026-09-20T00:00:00"/>
    <x v="0"/>
    <m/>
    <x v="0"/>
    <n v="4"/>
    <x v="2"/>
  </r>
  <r>
    <x v="458"/>
    <s v="WEB-113"/>
    <s v="Web Server"/>
    <s v="GitLab"/>
    <s v="CVE-2024-6387"/>
    <x v="0"/>
    <n v="8.1"/>
    <x v="201"/>
    <x v="0"/>
    <s v="Internal"/>
    <x v="0"/>
    <s v="Legal"/>
    <s v="Marcos Teixeira"/>
    <d v="2026-09-01T00:00:00"/>
    <d v="2026-09-15T00:00:00"/>
    <x v="0"/>
    <m/>
    <x v="0"/>
    <n v="8"/>
    <x v="3"/>
  </r>
  <r>
    <x v="459"/>
    <s v="LIN-036"/>
    <s v="Linux Server"/>
    <s v="OpenSSH"/>
    <s v="CVE-2024-3094"/>
    <x v="6"/>
    <n v="10"/>
    <x v="296"/>
    <x v="0"/>
    <s v="Internet-facing"/>
    <x v="1"/>
    <s v="Finance"/>
    <s v="Ana Costa"/>
    <d v="2026-08-26T00:00:00"/>
    <d v="2026-08-30T00:00:00"/>
    <x v="4"/>
    <m/>
    <x v="1"/>
    <n v="13"/>
    <x v="1"/>
  </r>
  <r>
    <x v="460"/>
    <s v="FIR-061"/>
    <s v="Firewall"/>
    <s v="FortiOS"/>
    <s v="CVE-2025-7710"/>
    <x v="2"/>
    <n v="7.5"/>
    <x v="244"/>
    <x v="1"/>
    <s v="Internal"/>
    <x v="0"/>
    <s v="Finance"/>
    <s v="Bruno Lima"/>
    <d v="2026-08-02T00:00:00"/>
    <d v="2026-08-16T00:00:00"/>
    <x v="1"/>
    <m/>
    <x v="0"/>
    <n v="5"/>
    <x v="1"/>
  </r>
  <r>
    <x v="461"/>
    <s v="WOR-108"/>
    <s v="Workstation"/>
    <s v="Jenkins"/>
    <s v="CVE-2024-21413"/>
    <x v="0"/>
    <n v="9.8000000000000007"/>
    <x v="177"/>
    <x v="1"/>
    <s v="Internal"/>
    <x v="0"/>
    <s v="HR"/>
    <s v="Elisa Rocha"/>
    <d v="2026-08-15T00:00:00"/>
    <d v="2026-08-18T00:00:00"/>
    <x v="0"/>
    <m/>
    <x v="0"/>
    <n v="8"/>
    <x v="3"/>
  </r>
  <r>
    <x v="462"/>
    <s v="FIR-054"/>
    <s v="Firewall"/>
    <s v="VMware ESXi"/>
    <s v="CVE-2023-23397"/>
    <x v="1"/>
    <n v="9.8000000000000007"/>
    <x v="318"/>
    <x v="0"/>
    <s v="Internal"/>
    <x v="0"/>
    <s v="HR"/>
    <s v="Elisa Rocha"/>
    <d v="2026-08-29T00:00:00"/>
    <d v="2026-09-01T00:00:00"/>
    <x v="2"/>
    <d v="2026-10-01T00:00:00"/>
    <x v="0"/>
    <n v="11"/>
    <x v="1"/>
  </r>
  <r>
    <x v="463"/>
    <s v="WIN-066"/>
    <s v="Windows Server"/>
    <s v="Apache HTTP Server"/>
    <s v="CVE-2025-4912"/>
    <x v="5"/>
    <n v="9.1"/>
    <x v="169"/>
    <x v="1"/>
    <s v="Internet-facing"/>
    <x v="0"/>
    <s v="Legal"/>
    <s v="Marcos Teixeira"/>
    <d v="2026-08-20T00:00:00"/>
    <d v="2026-08-27T00:00:00"/>
    <x v="0"/>
    <m/>
    <x v="1"/>
    <n v="9"/>
    <x v="3"/>
  </r>
  <r>
    <x v="464"/>
    <s v="WEB-113"/>
    <s v="Web Server"/>
    <s v="Microsoft Exchange"/>
    <s v="CVE-2023-23397"/>
    <x v="1"/>
    <n v="9.8000000000000007"/>
    <x v="40"/>
    <x v="0"/>
    <s v="Internal"/>
    <x v="0"/>
    <s v="Engineering"/>
    <s v="Carla Mendes"/>
    <d v="2026-08-13T00:00:00"/>
    <d v="2026-08-20T00:00:00"/>
    <x v="0"/>
    <m/>
    <x v="0"/>
    <n v="11"/>
    <x v="0"/>
  </r>
  <r>
    <x v="465"/>
    <s v="DAT-007"/>
    <s v="Database"/>
    <s v="Jenkins"/>
    <s v="CVE-2024-6387"/>
    <x v="0"/>
    <n v="8.5"/>
    <x v="270"/>
    <x v="0"/>
    <s v="Internet-facing"/>
    <x v="0"/>
    <s v="Finance"/>
    <s v="Bruno Lima"/>
    <d v="2026-08-24T00:00:00"/>
    <d v="2026-09-07T00:00:00"/>
    <x v="3"/>
    <d v="2026-09-27T00:00:00"/>
    <x v="1"/>
    <n v="9"/>
    <x v="1"/>
  </r>
  <r>
    <x v="466"/>
    <s v="WIN-088"/>
    <s v="Windows Server"/>
    <s v="PostgreSQL"/>
    <s v="CVE-2026-1847"/>
    <x v="0"/>
    <n v="9.8000000000000007"/>
    <x v="319"/>
    <x v="1"/>
    <s v="Internal"/>
    <x v="0"/>
    <s v="IT"/>
    <s v="Larissa Freitas"/>
    <d v="2026-08-24T00:00:00"/>
    <d v="2026-08-31T00:00:00"/>
    <x v="0"/>
    <m/>
    <x v="0"/>
    <n v="7"/>
    <x v="3"/>
  </r>
  <r>
    <x v="467"/>
    <s v="DAT-076"/>
    <s v="Database"/>
    <s v="FortiOS"/>
    <s v="CVE-2023-34362"/>
    <x v="3"/>
    <n v="9.8000000000000007"/>
    <x v="123"/>
    <x v="1"/>
    <s v="Internet-facing"/>
    <x v="1"/>
    <s v="Engineering"/>
    <s v="Carla Mendes"/>
    <d v="2026-08-23T00:00:00"/>
    <d v="2026-08-27T00:00:00"/>
    <x v="0"/>
    <m/>
    <x v="1"/>
    <n v="8"/>
    <x v="3"/>
  </r>
  <r>
    <x v="468"/>
    <s v="WIN-050"/>
    <s v="Windows Server"/>
    <s v="OpenSSH"/>
    <s v="CVE-2026-1847"/>
    <x v="0"/>
    <n v="9.8000000000000007"/>
    <x v="320"/>
    <x v="1"/>
    <s v="Internal"/>
    <x v="2"/>
    <s v="HR"/>
    <s v="Elisa Rocha"/>
    <d v="2026-09-06T00:00:00"/>
    <d v="2026-09-13T00:00:00"/>
    <x v="0"/>
    <m/>
    <x v="0"/>
    <n v="6"/>
    <x v="2"/>
  </r>
  <r>
    <x v="469"/>
    <s v="LIN-083"/>
    <s v="Linux Server"/>
    <s v="VMware ESXi"/>
    <s v="CVE-2025-3021"/>
    <x v="4"/>
    <n v="8.6"/>
    <x v="12"/>
    <x v="1"/>
    <s v="Internal"/>
    <x v="2"/>
    <s v="Legal"/>
    <s v="Marcos Teixeira"/>
    <d v="2026-08-14T00:00:00"/>
    <d v="2026-08-28T00:00:00"/>
    <x v="3"/>
    <d v="2026-09-11T00:00:00"/>
    <x v="0"/>
    <n v="3"/>
    <x v="1"/>
  </r>
  <r>
    <x v="470"/>
    <s v="FIR-002"/>
    <s v="Firewall"/>
    <s v="OpenSSH"/>
    <s v="CVE-2024-21413"/>
    <x v="0"/>
    <n v="9.8000000000000007"/>
    <x v="179"/>
    <x v="0"/>
    <s v="Restricted"/>
    <x v="1"/>
    <s v="Legal"/>
    <s v="Marcos Teixeira"/>
    <d v="2026-09-08T00:00:00"/>
    <d v="2026-09-15T00:00:00"/>
    <x v="0"/>
    <m/>
    <x v="0"/>
    <n v="10"/>
    <x v="0"/>
  </r>
  <r>
    <x v="471"/>
    <s v="WEB-104"/>
    <s v="Web Server"/>
    <s v="Jenkins"/>
    <s v="CVE-2025-7710"/>
    <x v="2"/>
    <n v="7.5"/>
    <x v="321"/>
    <x v="1"/>
    <s v="Restricted"/>
    <x v="1"/>
    <s v="HR"/>
    <s v="Elisa Rocha"/>
    <d v="2026-08-18T00:00:00"/>
    <d v="2026-09-01T00:00:00"/>
    <x v="1"/>
    <m/>
    <x v="0"/>
    <n v="5"/>
    <x v="1"/>
  </r>
  <r>
    <x v="472"/>
    <s v="WOR-059"/>
    <s v="Workstation"/>
    <s v="PostgreSQL"/>
    <s v="CVE-2025-7710"/>
    <x v="2"/>
    <n v="7.5"/>
    <x v="322"/>
    <x v="1"/>
    <s v="Internet-facing"/>
    <x v="2"/>
    <s v="Legal"/>
    <s v="Marcos Teixeira"/>
    <d v="2026-08-30T00:00:00"/>
    <d v="2026-09-13T00:00:00"/>
    <x v="0"/>
    <m/>
    <x v="1"/>
    <n v="5"/>
    <x v="2"/>
  </r>
  <r>
    <x v="473"/>
    <s v="WIN-001"/>
    <s v="Windows Server"/>
    <s v="VMware ESXi"/>
    <s v="CVE-2023-34362"/>
    <x v="3"/>
    <n v="9.8000000000000007"/>
    <x v="323"/>
    <x v="1"/>
    <s v="Internal"/>
    <x v="0"/>
    <s v="Operations"/>
    <s v="Isabela Nunes"/>
    <d v="2026-08-24T00:00:00"/>
    <d v="2026-08-31T00:00:00"/>
    <x v="0"/>
    <m/>
    <x v="0"/>
    <n v="8"/>
    <x v="3"/>
  </r>
  <r>
    <x v="474"/>
    <s v="FIR-014"/>
    <s v="Firewall"/>
    <s v="Apache HTTP Server"/>
    <s v="CVE-2024-21413"/>
    <x v="0"/>
    <n v="9.8000000000000007"/>
    <x v="324"/>
    <x v="0"/>
    <s v="Internal"/>
    <x v="1"/>
    <s v="HR"/>
    <s v="Elisa Rocha"/>
    <d v="2026-08-18T00:00:00"/>
    <d v="2026-08-25T00:00:00"/>
    <x v="0"/>
    <m/>
    <x v="0"/>
    <n v="10"/>
    <x v="0"/>
  </r>
  <r>
    <x v="475"/>
    <s v="FIR-092"/>
    <s v="Firewall"/>
    <s v="Microsoft SQL Server"/>
    <s v="CVE-2022-30190"/>
    <x v="0"/>
    <n v="7.8"/>
    <x v="162"/>
    <x v="1"/>
    <s v="Restricted"/>
    <x v="1"/>
    <s v="HR"/>
    <s v="Elisa Rocha"/>
    <d v="2026-08-13T00:00:00"/>
    <d v="2026-08-25T00:00:00"/>
    <x v="4"/>
    <m/>
    <x v="0"/>
    <n v="5"/>
    <x v="1"/>
  </r>
  <r>
    <x v="476"/>
    <s v="WEB-052"/>
    <s v="Web Server"/>
    <s v="FortiOS"/>
    <s v="CVE-2022-30190"/>
    <x v="0"/>
    <n v="7.8"/>
    <x v="121"/>
    <x v="1"/>
    <s v="Internal"/>
    <x v="0"/>
    <s v="Legal"/>
    <s v="Marcos Teixeira"/>
    <d v="2026-08-09T00:00:00"/>
    <d v="2026-08-23T00:00:00"/>
    <x v="0"/>
    <m/>
    <x v="0"/>
    <n v="6"/>
    <x v="2"/>
  </r>
  <r>
    <x v="477"/>
    <s v="WOR-117"/>
    <s v="Workstation"/>
    <s v="GitLab"/>
    <s v="CVE-2024-3094"/>
    <x v="6"/>
    <n v="10"/>
    <x v="154"/>
    <x v="0"/>
    <s v="Internal"/>
    <x v="0"/>
    <s v="HR"/>
    <s v="Elisa Rocha"/>
    <d v="2026-08-03T00:00:00"/>
    <d v="2026-08-10T00:00:00"/>
    <x v="0"/>
    <m/>
    <x v="0"/>
    <n v="12"/>
    <x v="0"/>
  </r>
  <r>
    <x v="478"/>
    <s v="FIR-092"/>
    <s v="Firewall"/>
    <s v="VMware ESXi"/>
    <s v="CVE-2025-3021"/>
    <x v="4"/>
    <n v="8.6"/>
    <x v="325"/>
    <x v="1"/>
    <s v="Restricted"/>
    <x v="0"/>
    <s v="HR"/>
    <s v="Elisa Rocha"/>
    <d v="2026-09-04T00:00:00"/>
    <d v="2026-09-18T00:00:00"/>
    <x v="0"/>
    <m/>
    <x v="0"/>
    <n v="6"/>
    <x v="2"/>
  </r>
  <r>
    <x v="479"/>
    <s v="WOR-065"/>
    <s v="Workstation"/>
    <s v="OpenSSH"/>
    <s v="CVE-2025-7710"/>
    <x v="2"/>
    <n v="7.5"/>
    <x v="326"/>
    <x v="1"/>
    <s v="Internet-facing"/>
    <x v="0"/>
    <s v="IT"/>
    <s v="Larissa Freitas"/>
    <d v="2026-09-05T00:00:00"/>
    <d v="2026-09-18T00:00:00"/>
    <x v="0"/>
    <m/>
    <x v="1"/>
    <n v="6"/>
    <x v="2"/>
  </r>
  <r>
    <x v="480"/>
    <s v="FIR-034"/>
    <s v="Firewall"/>
    <s v="Linux Kernel"/>
    <s v="CVE-2021-44228"/>
    <x v="0"/>
    <n v="10"/>
    <x v="327"/>
    <x v="1"/>
    <s v="Internal"/>
    <x v="1"/>
    <s v="Engineering"/>
    <s v="Carla Mendes"/>
    <d v="2026-08-12T00:00:00"/>
    <d v="2026-08-19T00:00:00"/>
    <x v="3"/>
    <d v="2026-09-04T00:00:00"/>
    <x v="0"/>
    <n v="8"/>
    <x v="1"/>
  </r>
  <r>
    <x v="481"/>
    <s v="WOR-029"/>
    <s v="Workstation"/>
    <s v="Microsoft SQL Server"/>
    <s v="CVE-2021-44228"/>
    <x v="0"/>
    <n v="10"/>
    <x v="5"/>
    <x v="0"/>
    <s v="Internal"/>
    <x v="0"/>
    <s v="Engineering"/>
    <s v="Diego Alves"/>
    <d v="2026-08-22T00:00:00"/>
    <d v="2026-08-29T00:00:00"/>
    <x v="2"/>
    <d v="2026-09-11T00:00:00"/>
    <x v="0"/>
    <n v="11"/>
    <x v="1"/>
  </r>
  <r>
    <x v="482"/>
    <s v="WIN-061"/>
    <s v="Windows Server"/>
    <s v="VMware ESXi"/>
    <s v="CVE-2026-1847"/>
    <x v="0"/>
    <n v="9.8000000000000007"/>
    <x v="328"/>
    <x v="1"/>
    <s v="Internal"/>
    <x v="1"/>
    <s v="Legal"/>
    <s v="Marcos Teixeira"/>
    <d v="2026-09-07T00:00:00"/>
    <d v="2026-09-14T00:00:00"/>
    <x v="0"/>
    <m/>
    <x v="0"/>
    <n v="7"/>
    <x v="3"/>
  </r>
  <r>
    <x v="483"/>
    <s v="LIN-065"/>
    <s v="Linux Server"/>
    <s v="VMware ESXi"/>
    <s v="CVE-2026-2173"/>
    <x v="1"/>
    <n v="8.8000000000000007"/>
    <x v="137"/>
    <x v="1"/>
    <s v="Restricted"/>
    <x v="2"/>
    <s v="Sales"/>
    <s v="Gabriela Souza"/>
    <d v="2026-08-25T00:00:00"/>
    <d v="2026-09-08T00:00:00"/>
    <x v="0"/>
    <m/>
    <x v="0"/>
    <n v="4"/>
    <x v="2"/>
  </r>
  <r>
    <x v="484"/>
    <s v="LIN-018"/>
    <s v="Linux Server"/>
    <s v="FortiOS"/>
    <s v="CVE-2025-3021"/>
    <x v="4"/>
    <n v="9"/>
    <x v="329"/>
    <x v="1"/>
    <s v="Internet-facing"/>
    <x v="0"/>
    <s v="Finance"/>
    <s v="Bruno Lima"/>
    <d v="2026-08-27T00:00:00"/>
    <d v="2026-09-03T00:00:00"/>
    <x v="1"/>
    <m/>
    <x v="1"/>
    <n v="9"/>
    <x v="1"/>
  </r>
  <r>
    <x v="485"/>
    <s v="WOR-111"/>
    <s v="Workstation"/>
    <s v="OpenSSH"/>
    <s v="CVE-2021-44228"/>
    <x v="0"/>
    <n v="10"/>
    <x v="312"/>
    <x v="1"/>
    <s v="Restricted"/>
    <x v="2"/>
    <s v="Engineering"/>
    <s v="Diego Alves"/>
    <d v="2026-09-01T00:00:00"/>
    <d v="2026-09-08T00:00:00"/>
    <x v="2"/>
    <d v="2026-09-14T00:00:00"/>
    <x v="0"/>
    <n v="6"/>
    <x v="1"/>
  </r>
  <r>
    <x v="486"/>
    <s v="WIN-001"/>
    <s v="Windows Server"/>
    <s v="Microsoft SQL Server"/>
    <s v="CVE-2024-21413"/>
    <x v="0"/>
    <n v="9.8000000000000007"/>
    <x v="330"/>
    <x v="0"/>
    <s v="Internal"/>
    <x v="0"/>
    <s v="IT"/>
    <s v="João Ribeiro"/>
    <d v="2026-08-11T00:00:00"/>
    <d v="2026-08-18T00:00:00"/>
    <x v="0"/>
    <m/>
    <x v="0"/>
    <n v="10"/>
    <x v="0"/>
  </r>
  <r>
    <x v="487"/>
    <s v="WIN-017"/>
    <s v="Windows Server"/>
    <s v="GitLab"/>
    <s v="CVE-2023-23397"/>
    <x v="1"/>
    <n v="9.8000000000000007"/>
    <x v="195"/>
    <x v="0"/>
    <s v="Internal"/>
    <x v="2"/>
    <s v="Sales"/>
    <s v="Gabriela Souza"/>
    <d v="2026-08-26T00:00:00"/>
    <d v="2026-09-02T00:00:00"/>
    <x v="0"/>
    <m/>
    <x v="0"/>
    <n v="9"/>
    <x v="3"/>
  </r>
  <r>
    <x v="488"/>
    <s v="WIN-005"/>
    <s v="Windows Server"/>
    <s v="PostgreSQL"/>
    <s v="CVE-2023-34362"/>
    <x v="3"/>
    <n v="9.8000000000000007"/>
    <x v="294"/>
    <x v="1"/>
    <s v="Internal"/>
    <x v="2"/>
    <s v="Sales"/>
    <s v="Gabriela Souza"/>
    <d v="2026-08-24T00:00:00"/>
    <d v="2026-08-31T00:00:00"/>
    <x v="0"/>
    <m/>
    <x v="0"/>
    <n v="5"/>
    <x v="2"/>
  </r>
  <r>
    <x v="489"/>
    <s v="WEB-025"/>
    <s v="Web Server"/>
    <s v="VMware ESXi"/>
    <s v="CVE-2026-1847"/>
    <x v="0"/>
    <n v="9.8000000000000007"/>
    <x v="331"/>
    <x v="1"/>
    <s v="Internal"/>
    <x v="2"/>
    <s v="Legal"/>
    <s v="Marcos Teixeira"/>
    <d v="2026-08-01T00:00:00"/>
    <d v="2026-08-08T00:00:00"/>
    <x v="0"/>
    <m/>
    <x v="0"/>
    <n v="7"/>
    <x v="3"/>
  </r>
  <r>
    <x v="490"/>
    <s v="FIR-113"/>
    <s v="Firewall"/>
    <s v="Microsoft SQL Server"/>
    <s v="CVE-2024-6387"/>
    <x v="0"/>
    <n v="8.1"/>
    <x v="332"/>
    <x v="0"/>
    <s v="Internal"/>
    <x v="1"/>
    <s v="Engineering"/>
    <s v="Diego Alves"/>
    <d v="2026-08-25T00:00:00"/>
    <d v="2026-09-08T00:00:00"/>
    <x v="0"/>
    <m/>
    <x v="0"/>
    <n v="6"/>
    <x v="2"/>
  </r>
  <r>
    <x v="491"/>
    <s v="WIN-106"/>
    <s v="Windows Server"/>
    <s v="Microsoft SQL Server"/>
    <s v="CVE-2026-1847"/>
    <x v="0"/>
    <n v="9.8000000000000007"/>
    <x v="63"/>
    <x v="1"/>
    <s v="Internet-facing"/>
    <x v="0"/>
    <s v="Engineering"/>
    <s v="Diego Alves"/>
    <d v="2026-08-19T00:00:00"/>
    <d v="2026-08-26T00:00:00"/>
    <x v="0"/>
    <m/>
    <x v="1"/>
    <n v="10"/>
    <x v="0"/>
  </r>
  <r>
    <x v="492"/>
    <s v="FIR-018"/>
    <s v="Firewall"/>
    <s v="Confluence"/>
    <s v="CVE-2024-6387"/>
    <x v="0"/>
    <n v="8.1"/>
    <x v="170"/>
    <x v="0"/>
    <s v="Internal"/>
    <x v="2"/>
    <s v="Sales"/>
    <s v="Felipe Martins"/>
    <d v="2026-08-13T00:00:00"/>
    <d v="2026-08-23T00:00:00"/>
    <x v="2"/>
    <d v="2026-08-16T00:00:00"/>
    <x v="0"/>
    <n v="6"/>
    <x v="1"/>
  </r>
  <r>
    <x v="493"/>
    <s v="FIR-017"/>
    <s v="Firewall"/>
    <s v="Jenkins"/>
    <s v="CVE-2025-3021"/>
    <x v="4"/>
    <n v="8.6"/>
    <x v="333"/>
    <x v="1"/>
    <s v="Internal"/>
    <x v="0"/>
    <s v="Engineering"/>
    <s v="Carla Mendes"/>
    <d v="2026-08-02T00:00:00"/>
    <d v="2026-08-16T00:00:00"/>
    <x v="1"/>
    <m/>
    <x v="0"/>
    <n v="6"/>
    <x v="1"/>
  </r>
  <r>
    <x v="494"/>
    <s v="WOR-092"/>
    <s v="Workstation"/>
    <s v="Microsoft Exchange"/>
    <s v="CVE-2022-30190"/>
    <x v="0"/>
    <n v="7.8"/>
    <x v="150"/>
    <x v="1"/>
    <s v="Internal"/>
    <x v="2"/>
    <s v="Finance"/>
    <s v="Bruno Lima"/>
    <d v="2026-08-25T00:00:00"/>
    <d v="2026-09-08T00:00:00"/>
    <x v="0"/>
    <m/>
    <x v="0"/>
    <n v="3"/>
    <x v="2"/>
  </r>
  <r>
    <x v="495"/>
    <s v="WEB-080"/>
    <s v="Web Server"/>
    <s v="Windows Server"/>
    <s v="CVE-2026-1847"/>
    <x v="0"/>
    <n v="9.8000000000000007"/>
    <x v="334"/>
    <x v="1"/>
    <s v="Internal"/>
    <x v="2"/>
    <s v="Legal"/>
    <s v="Marcos Teixeira"/>
    <d v="2026-08-04T00:00:00"/>
    <d v="2026-08-11T00:00:00"/>
    <x v="0"/>
    <m/>
    <x v="0"/>
    <n v="7"/>
    <x v="3"/>
  </r>
  <r>
    <x v="496"/>
    <s v="FIR-015"/>
    <s v="Firewall"/>
    <s v="Confluence"/>
    <s v="CVE-2024-3094"/>
    <x v="6"/>
    <n v="10"/>
    <x v="150"/>
    <x v="0"/>
    <s v="Restricted"/>
    <x v="0"/>
    <s v="Finance"/>
    <s v="Ana Costa"/>
    <d v="2026-09-05T00:00:00"/>
    <d v="2026-09-12T00:00:00"/>
    <x v="1"/>
    <m/>
    <x v="0"/>
    <n v="11"/>
    <x v="1"/>
  </r>
  <r>
    <x v="497"/>
    <s v="FIR-088"/>
    <s v="Firewall"/>
    <s v="Microsoft Exchange"/>
    <s v="CVE-2022-30190"/>
    <x v="0"/>
    <n v="7.8"/>
    <x v="47"/>
    <x v="1"/>
    <s v="Internet-facing"/>
    <x v="0"/>
    <s v="Engineering"/>
    <s v="Carla Mendes"/>
    <d v="2026-08-20T00:00:00"/>
    <d v="2026-09-03T00:00:00"/>
    <x v="0"/>
    <m/>
    <x v="1"/>
    <n v="8"/>
    <x v="3"/>
  </r>
  <r>
    <x v="498"/>
    <s v="WEB-035"/>
    <s v="Web Server"/>
    <s v="Windows Server"/>
    <s v="CVE-2023-23397"/>
    <x v="1"/>
    <n v="9.8000000000000007"/>
    <x v="335"/>
    <x v="1"/>
    <s v="Restricted"/>
    <x v="0"/>
    <s v="IT"/>
    <s v="João Ribeiro"/>
    <d v="2026-08-27T00:00:00"/>
    <d v="2026-09-03T00:00:00"/>
    <x v="4"/>
    <m/>
    <x v="0"/>
    <n v="6"/>
    <x v="1"/>
  </r>
  <r>
    <x v="499"/>
    <s v="FIR-080"/>
    <s v="Firewall"/>
    <s v="Microsoft SQL Server"/>
    <s v="CVE-2026-2173"/>
    <x v="1"/>
    <n v="8.8000000000000007"/>
    <x v="336"/>
    <x v="1"/>
    <s v="Restricted"/>
    <x v="0"/>
    <s v="Operations"/>
    <s v="Isabela Nunes"/>
    <d v="2026-08-08T00:00:00"/>
    <d v="2026-08-22T00:00:00"/>
    <x v="1"/>
    <m/>
    <x v="0"/>
    <n v="6"/>
    <x v="1"/>
  </r>
  <r>
    <x v="500"/>
    <s v="WEB-026"/>
    <s v="Web Server"/>
    <s v="Linux Kernel"/>
    <s v="CVE-2025-7710"/>
    <x v="2"/>
    <n v="7.5"/>
    <x v="337"/>
    <x v="1"/>
    <s v="Internal"/>
    <x v="2"/>
    <s v="Engineering"/>
    <s v="Diego Alves"/>
    <d v="2026-08-13T00:00:00"/>
    <d v="2026-08-27T00:00:00"/>
    <x v="1"/>
    <m/>
    <x v="0"/>
    <n v="4"/>
    <x v="1"/>
  </r>
  <r>
    <x v="501"/>
    <s v="LIN-006"/>
    <s v="Linux Server"/>
    <s v="Confluence"/>
    <s v="CVE-2023-34362"/>
    <x v="3"/>
    <n v="9.8000000000000007"/>
    <x v="190"/>
    <x v="1"/>
    <s v="Internal"/>
    <x v="1"/>
    <s v="HR"/>
    <s v="Elisa Rocha"/>
    <d v="2026-08-14T00:00:00"/>
    <d v="2026-08-21T00:00:00"/>
    <x v="1"/>
    <m/>
    <x v="0"/>
    <n v="7"/>
    <x v="1"/>
  </r>
  <r>
    <x v="502"/>
    <s v="LIN-001"/>
    <s v="Linux Server"/>
    <s v="VMware ESXi"/>
    <s v="CVE-2026-1847"/>
    <x v="0"/>
    <n v="9.8000000000000007"/>
    <x v="143"/>
    <x v="1"/>
    <s v="Internal"/>
    <x v="0"/>
    <s v="HR"/>
    <s v="Elisa Rocha"/>
    <d v="2026-08-06T00:00:00"/>
    <d v="2026-08-13T00:00:00"/>
    <x v="0"/>
    <m/>
    <x v="0"/>
    <n v="6"/>
    <x v="2"/>
  </r>
  <r>
    <x v="503"/>
    <s v="WIN-100"/>
    <s v="Windows Server"/>
    <s v="Apache HTTP Server"/>
    <s v="CVE-2023-34362"/>
    <x v="3"/>
    <n v="9.8000000000000007"/>
    <x v="338"/>
    <x v="1"/>
    <s v="Restricted"/>
    <x v="1"/>
    <s v="Engineering"/>
    <s v="Diego Alves"/>
    <d v="2026-08-07T00:00:00"/>
    <d v="2026-08-14T00:00:00"/>
    <x v="2"/>
    <d v="2026-08-23T00:00:00"/>
    <x v="0"/>
    <n v="8"/>
    <x v="1"/>
  </r>
  <r>
    <x v="504"/>
    <s v="WOR-060"/>
    <s v="Workstation"/>
    <s v="Apache HTTP Server"/>
    <s v="CVE-2026-1847"/>
    <x v="0"/>
    <n v="9.8000000000000007"/>
    <x v="339"/>
    <x v="1"/>
    <s v="Internal"/>
    <x v="1"/>
    <s v="HR"/>
    <s v="Elisa Rocha"/>
    <d v="2026-08-12T00:00:00"/>
    <d v="2026-08-19T00:00:00"/>
    <x v="1"/>
    <m/>
    <x v="0"/>
    <n v="6"/>
    <x v="1"/>
  </r>
  <r>
    <x v="505"/>
    <s v="FIR-041"/>
    <s v="Firewall"/>
    <s v="Jenkins"/>
    <s v="CVE-2024-3094"/>
    <x v="6"/>
    <n v="10"/>
    <x v="306"/>
    <x v="0"/>
    <s v="Internal"/>
    <x v="2"/>
    <s v="HR"/>
    <s v="Elisa Rocha"/>
    <d v="2026-08-03T00:00:00"/>
    <d v="2026-08-08T00:00:00"/>
    <x v="1"/>
    <m/>
    <x v="0"/>
    <n v="10"/>
    <x v="1"/>
  </r>
  <r>
    <x v="506"/>
    <s v="WOR-115"/>
    <s v="Workstation"/>
    <s v="Windows Server"/>
    <s v="CVE-2024-21413"/>
    <x v="0"/>
    <n v="9.8000000000000007"/>
    <x v="126"/>
    <x v="0"/>
    <s v="Internet-facing"/>
    <x v="0"/>
    <s v="HR"/>
    <s v="Elisa Rocha"/>
    <d v="2026-08-06T00:00:00"/>
    <d v="2026-08-13T00:00:00"/>
    <x v="2"/>
    <d v="2026-08-29T00:00:00"/>
    <x v="1"/>
    <n v="11"/>
    <x v="1"/>
  </r>
  <r>
    <x v="507"/>
    <s v="DAT-052"/>
    <s v="Database"/>
    <s v="Microsoft SQL Server"/>
    <s v="CVE-2024-21413"/>
    <x v="0"/>
    <n v="9.8000000000000007"/>
    <x v="94"/>
    <x v="1"/>
    <s v="Internal"/>
    <x v="0"/>
    <s v="Finance"/>
    <s v="Ana Costa"/>
    <d v="2026-08-31T00:00:00"/>
    <d v="2026-09-07T00:00:00"/>
    <x v="3"/>
    <d v="2026-09-12T00:00:00"/>
    <x v="0"/>
    <n v="7"/>
    <x v="1"/>
  </r>
  <r>
    <x v="508"/>
    <s v="FIR-093"/>
    <s v="Firewall"/>
    <s v="OpenSSH"/>
    <s v="CVE-2026-1847"/>
    <x v="0"/>
    <n v="9.8000000000000007"/>
    <x v="201"/>
    <x v="1"/>
    <s v="Internal"/>
    <x v="0"/>
    <s v="Engineering"/>
    <s v="Diego Alves"/>
    <d v="2026-08-07T00:00:00"/>
    <d v="2026-08-14T00:00:00"/>
    <x v="0"/>
    <m/>
    <x v="0"/>
    <n v="7"/>
    <x v="3"/>
  </r>
  <r>
    <x v="509"/>
    <s v="WEB-087"/>
    <s v="Web Server"/>
    <s v="OpenSSH"/>
    <s v="CVE-2024-21413"/>
    <x v="0"/>
    <n v="10"/>
    <x v="216"/>
    <x v="0"/>
    <s v="Internet-facing"/>
    <x v="0"/>
    <s v="Legal"/>
    <s v="Marcos Teixeira"/>
    <d v="2026-08-23T00:00:00"/>
    <d v="2026-08-30T00:00:00"/>
    <x v="0"/>
    <m/>
    <x v="1"/>
    <n v="14"/>
    <x v="4"/>
  </r>
  <r>
    <x v="510"/>
    <s v="DAT-015"/>
    <s v="Database"/>
    <s v="Confluence"/>
    <s v="CVE-2024-3094"/>
    <x v="6"/>
    <n v="10"/>
    <x v="159"/>
    <x v="0"/>
    <s v="Internal"/>
    <x v="0"/>
    <s v="Sales"/>
    <s v="Felipe Martins"/>
    <d v="2026-08-17T00:00:00"/>
    <d v="2026-08-24T00:00:00"/>
    <x v="2"/>
    <d v="2026-08-19T00:00:00"/>
    <x v="0"/>
    <n v="12"/>
    <x v="1"/>
  </r>
  <r>
    <x v="511"/>
    <s v="WOR-067"/>
    <s v="Workstation"/>
    <s v="Jenkins"/>
    <s v="CVE-2023-34362"/>
    <x v="3"/>
    <n v="9.8000000000000007"/>
    <x v="340"/>
    <x v="1"/>
    <s v="Restricted"/>
    <x v="0"/>
    <s v="IT"/>
    <s v="Larissa Freitas"/>
    <d v="2026-09-09T00:00:00"/>
    <d v="2026-09-14T00:00:00"/>
    <x v="3"/>
    <d v="2026-10-11T00:00:00"/>
    <x v="0"/>
    <n v="9"/>
    <x v="1"/>
  </r>
  <r>
    <x v="512"/>
    <s v="FIR-083"/>
    <s v="Firewall"/>
    <s v="OpenSSH"/>
    <s v="CVE-2024-3094"/>
    <x v="6"/>
    <n v="10"/>
    <x v="252"/>
    <x v="1"/>
    <s v="Internet-facing"/>
    <x v="1"/>
    <s v="IT"/>
    <s v="João Ribeiro"/>
    <d v="2026-09-05T00:00:00"/>
    <d v="2026-09-12T00:00:00"/>
    <x v="0"/>
    <m/>
    <x v="1"/>
    <n v="9"/>
    <x v="3"/>
  </r>
  <r>
    <x v="513"/>
    <s v="FIR-120"/>
    <s v="Firewall"/>
    <s v="Linux Kernel"/>
    <s v="CVE-2025-4912"/>
    <x v="5"/>
    <n v="9.1"/>
    <x v="341"/>
    <x v="1"/>
    <s v="Internal"/>
    <x v="2"/>
    <s v="Finance"/>
    <s v="Ana Costa"/>
    <d v="2026-08-31T00:00:00"/>
    <d v="2026-09-07T00:00:00"/>
    <x v="2"/>
    <d v="2026-09-12T00:00:00"/>
    <x v="0"/>
    <n v="4"/>
    <x v="1"/>
  </r>
  <r>
    <x v="514"/>
    <s v="DAT-042"/>
    <s v="Database"/>
    <s v="FortiOS"/>
    <s v="CVE-2025-3021"/>
    <x v="4"/>
    <n v="8.6"/>
    <x v="342"/>
    <x v="1"/>
    <s v="Internal"/>
    <x v="2"/>
    <s v="Legal"/>
    <s v="Marcos Teixeira"/>
    <d v="2026-08-18T00:00:00"/>
    <d v="2026-08-30T00:00:00"/>
    <x v="0"/>
    <m/>
    <x v="0"/>
    <n v="3"/>
    <x v="2"/>
  </r>
  <r>
    <x v="515"/>
    <s v="LIN-011"/>
    <s v="Linux Server"/>
    <s v="Confluence"/>
    <s v="CVE-2024-21413"/>
    <x v="0"/>
    <n v="9.8000000000000007"/>
    <x v="110"/>
    <x v="1"/>
    <s v="Internal"/>
    <x v="1"/>
    <s v="Sales"/>
    <s v="Gabriela Souza"/>
    <d v="2026-08-29T00:00:00"/>
    <d v="2026-09-01T00:00:00"/>
    <x v="0"/>
    <m/>
    <x v="0"/>
    <n v="6"/>
    <x v="2"/>
  </r>
  <r>
    <x v="516"/>
    <s v="WIN-064"/>
    <s v="Windows Server"/>
    <s v="VMware ESXi"/>
    <s v="CVE-2021-44228"/>
    <x v="0"/>
    <n v="10"/>
    <x v="343"/>
    <x v="0"/>
    <s v="Internal"/>
    <x v="1"/>
    <s v="HR"/>
    <s v="Elisa Rocha"/>
    <d v="2026-08-26T00:00:00"/>
    <d v="2026-09-02T00:00:00"/>
    <x v="0"/>
    <m/>
    <x v="0"/>
    <n v="12"/>
    <x v="0"/>
  </r>
  <r>
    <x v="517"/>
    <s v="WIN-102"/>
    <s v="Windows Server"/>
    <s v="Windows Server"/>
    <s v="CVE-2023-23397"/>
    <x v="1"/>
    <n v="9.8000000000000007"/>
    <x v="344"/>
    <x v="0"/>
    <s v="Internal"/>
    <x v="0"/>
    <s v="Legal"/>
    <s v="Marcos Teixeira"/>
    <d v="2026-09-02T00:00:00"/>
    <d v="2026-09-09T00:00:00"/>
    <x v="1"/>
    <m/>
    <x v="0"/>
    <n v="11"/>
    <x v="1"/>
  </r>
  <r>
    <x v="518"/>
    <s v="WOR-106"/>
    <s v="Workstation"/>
    <s v="PostgreSQL"/>
    <s v="CVE-2026-1847"/>
    <x v="0"/>
    <n v="10"/>
    <x v="37"/>
    <x v="1"/>
    <s v="Internet-facing"/>
    <x v="0"/>
    <s v="HR"/>
    <s v="Elisa Rocha"/>
    <d v="2026-08-30T00:00:00"/>
    <d v="2026-09-06T00:00:00"/>
    <x v="0"/>
    <m/>
    <x v="1"/>
    <n v="10"/>
    <x v="0"/>
  </r>
  <r>
    <x v="519"/>
    <s v="FIR-047"/>
    <s v="Firewall"/>
    <s v="Confluence"/>
    <s v="CVE-2021-44228"/>
    <x v="0"/>
    <n v="10"/>
    <x v="345"/>
    <x v="0"/>
    <s v="Internet-facing"/>
    <x v="1"/>
    <s v="IT"/>
    <s v="Larissa Freitas"/>
    <d v="2026-08-15T00:00:00"/>
    <d v="2026-08-19T00:00:00"/>
    <x v="4"/>
    <m/>
    <x v="1"/>
    <n v="14"/>
    <x v="1"/>
  </r>
  <r>
    <x v="520"/>
    <s v="WEB-048"/>
    <s v="Web Server"/>
    <s v="Apache HTTP Server"/>
    <s v="CVE-2021-44228"/>
    <x v="0"/>
    <n v="10"/>
    <x v="346"/>
    <x v="0"/>
    <s v="Internal"/>
    <x v="1"/>
    <s v="Operations"/>
    <s v="Isabela Nunes"/>
    <d v="2026-08-11T00:00:00"/>
    <d v="2026-08-18T00:00:00"/>
    <x v="1"/>
    <m/>
    <x v="0"/>
    <n v="12"/>
    <x v="1"/>
  </r>
  <r>
    <x v="521"/>
    <s v="WOR-079"/>
    <s v="Workstation"/>
    <s v="PostgreSQL"/>
    <s v="CVE-2025-3021"/>
    <x v="4"/>
    <n v="8.6"/>
    <x v="94"/>
    <x v="1"/>
    <s v="Internal"/>
    <x v="0"/>
    <s v="Finance"/>
    <s v="Bruno Lima"/>
    <d v="2026-08-08T00:00:00"/>
    <d v="2026-08-22T00:00:00"/>
    <x v="1"/>
    <m/>
    <x v="0"/>
    <n v="5"/>
    <x v="1"/>
  </r>
  <r>
    <x v="522"/>
    <s v="DAT-106"/>
    <s v="Database"/>
    <s v="Jenkins"/>
    <s v="CVE-2025-3021"/>
    <x v="4"/>
    <n v="8.6"/>
    <x v="265"/>
    <x v="1"/>
    <s v="Internal"/>
    <x v="0"/>
    <s v="Engineering"/>
    <s v="Carla Mendes"/>
    <d v="2026-08-22T00:00:00"/>
    <d v="2026-09-01T00:00:00"/>
    <x v="2"/>
    <d v="2026-08-26T00:00:00"/>
    <x v="0"/>
    <n v="5"/>
    <x v="1"/>
  </r>
  <r>
    <x v="523"/>
    <s v="DAT-059"/>
    <s v="Database"/>
    <s v="Windows Server"/>
    <s v="CVE-2022-30190"/>
    <x v="0"/>
    <n v="7.8"/>
    <x v="162"/>
    <x v="1"/>
    <s v="Internal"/>
    <x v="2"/>
    <s v="Legal"/>
    <s v="Marcos Teixeira"/>
    <d v="2026-09-02T00:00:00"/>
    <d v="2026-09-12T00:00:00"/>
    <x v="0"/>
    <m/>
    <x v="0"/>
    <n v="4"/>
    <x v="2"/>
  </r>
  <r>
    <x v="524"/>
    <s v="FIR-007"/>
    <s v="Firewall"/>
    <s v="GitLab"/>
    <s v="CVE-2023-34362"/>
    <x v="3"/>
    <n v="9.8000000000000007"/>
    <x v="347"/>
    <x v="1"/>
    <s v="Restricted"/>
    <x v="0"/>
    <s v="Operations"/>
    <s v="Henrique Dias"/>
    <d v="2026-09-07T00:00:00"/>
    <d v="2026-09-14T00:00:00"/>
    <x v="3"/>
    <d v="2026-10-11T00:00:00"/>
    <x v="0"/>
    <n v="7"/>
    <x v="1"/>
  </r>
  <r>
    <x v="525"/>
    <s v="WEB-023"/>
    <s v="Web Server"/>
    <s v="OpenSSH"/>
    <s v="CVE-2021-44228"/>
    <x v="0"/>
    <n v="10"/>
    <x v="75"/>
    <x v="0"/>
    <s v="Internal"/>
    <x v="0"/>
    <s v="IT"/>
    <s v="Larissa Freitas"/>
    <d v="2026-09-08T00:00:00"/>
    <d v="2026-09-15T00:00:00"/>
    <x v="0"/>
    <m/>
    <x v="0"/>
    <n v="10"/>
    <x v="0"/>
  </r>
  <r>
    <x v="526"/>
    <s v="DAT-054"/>
    <s v="Database"/>
    <s v="Jenkins"/>
    <s v="CVE-2023-23397"/>
    <x v="1"/>
    <n v="10"/>
    <x v="348"/>
    <x v="1"/>
    <s v="Internet-facing"/>
    <x v="2"/>
    <s v="Operations"/>
    <s v="Isabela Nunes"/>
    <d v="2026-08-18T00:00:00"/>
    <d v="2026-08-25T00:00:00"/>
    <x v="0"/>
    <m/>
    <x v="1"/>
    <n v="9"/>
    <x v="3"/>
  </r>
  <r>
    <x v="527"/>
    <s v="DAT-104"/>
    <s v="Database"/>
    <s v="OpenSSH"/>
    <s v="CVE-2025-4912"/>
    <x v="5"/>
    <n v="9.1"/>
    <x v="52"/>
    <x v="1"/>
    <s v="Internet-facing"/>
    <x v="0"/>
    <s v="HR"/>
    <s v="Elisa Rocha"/>
    <d v="2026-08-27T00:00:00"/>
    <d v="2026-09-03T00:00:00"/>
    <x v="2"/>
    <d v="2026-09-30T00:00:00"/>
    <x v="1"/>
    <n v="8"/>
    <x v="1"/>
  </r>
  <r>
    <x v="528"/>
    <s v="FIR-071"/>
    <s v="Firewall"/>
    <s v="Jenkins"/>
    <s v="CVE-2024-6387"/>
    <x v="0"/>
    <n v="8.1"/>
    <x v="300"/>
    <x v="1"/>
    <s v="Internal"/>
    <x v="0"/>
    <s v="Legal"/>
    <s v="Marcos Teixeira"/>
    <d v="2026-09-05T00:00:00"/>
    <d v="2026-09-19T00:00:00"/>
    <x v="0"/>
    <m/>
    <x v="0"/>
    <n v="5"/>
    <x v="2"/>
  </r>
  <r>
    <x v="529"/>
    <s v="WEB-092"/>
    <s v="Web Server"/>
    <s v="VMware ESXi"/>
    <s v="CVE-2025-7710"/>
    <x v="2"/>
    <n v="7.5"/>
    <x v="116"/>
    <x v="1"/>
    <s v="Internal"/>
    <x v="0"/>
    <s v="Engineering"/>
    <s v="Carla Mendes"/>
    <d v="2026-08-23T00:00:00"/>
    <d v="2026-09-06T00:00:00"/>
    <x v="3"/>
    <d v="2026-09-02T00:00:00"/>
    <x v="0"/>
    <n v="6"/>
    <x v="1"/>
  </r>
  <r>
    <x v="530"/>
    <s v="WEB-089"/>
    <s v="Web Server"/>
    <s v="FortiOS"/>
    <s v="CVE-2022-30190"/>
    <x v="0"/>
    <n v="7.8"/>
    <x v="349"/>
    <x v="1"/>
    <s v="Restricted"/>
    <x v="0"/>
    <s v="Operations"/>
    <s v="Isabela Nunes"/>
    <d v="2026-08-08T00:00:00"/>
    <d v="2026-08-22T00:00:00"/>
    <x v="1"/>
    <m/>
    <x v="0"/>
    <n v="4"/>
    <x v="1"/>
  </r>
  <r>
    <x v="531"/>
    <s v="WEB-086"/>
    <s v="Web Server"/>
    <s v="GitLab"/>
    <s v="CVE-2021-44228"/>
    <x v="0"/>
    <n v="10"/>
    <x v="350"/>
    <x v="1"/>
    <s v="Internal"/>
    <x v="0"/>
    <s v="Operations"/>
    <s v="Henrique Dias"/>
    <d v="2026-09-04T00:00:00"/>
    <d v="2026-09-11T00:00:00"/>
    <x v="2"/>
    <d v="2026-10-03T00:00:00"/>
    <x v="0"/>
    <n v="8"/>
    <x v="1"/>
  </r>
  <r>
    <x v="532"/>
    <s v="WIN-004"/>
    <s v="Windows Server"/>
    <s v="OpenSSH"/>
    <s v="CVE-2024-3094"/>
    <x v="6"/>
    <n v="10"/>
    <x v="190"/>
    <x v="0"/>
    <s v="Internal"/>
    <x v="1"/>
    <s v="Operations"/>
    <s v="Isabela Nunes"/>
    <d v="2026-08-04T00:00:00"/>
    <d v="2026-08-09T00:00:00"/>
    <x v="3"/>
    <d v="2026-08-24T00:00:00"/>
    <x v="0"/>
    <n v="11"/>
    <x v="1"/>
  </r>
  <r>
    <x v="533"/>
    <s v="WIN-089"/>
    <s v="Windows Server"/>
    <s v="PostgreSQL"/>
    <s v="CVE-2025-7710"/>
    <x v="2"/>
    <n v="7.5"/>
    <x v="351"/>
    <x v="1"/>
    <s v="Internal"/>
    <x v="0"/>
    <s v="Engineering"/>
    <s v="Carla Mendes"/>
    <d v="2026-09-04T00:00:00"/>
    <d v="2026-09-14T00:00:00"/>
    <x v="2"/>
    <d v="2026-09-12T00:00:00"/>
    <x v="0"/>
    <n v="6"/>
    <x v="1"/>
  </r>
  <r>
    <x v="534"/>
    <s v="FIR-072"/>
    <s v="Firewall"/>
    <s v="PostgreSQL"/>
    <s v="CVE-2024-3094"/>
    <x v="6"/>
    <n v="10"/>
    <x v="189"/>
    <x v="0"/>
    <s v="Internet-facing"/>
    <x v="1"/>
    <s v="IT"/>
    <s v="João Ribeiro"/>
    <d v="2026-08-19T00:00:00"/>
    <d v="2026-08-26T00:00:00"/>
    <x v="4"/>
    <m/>
    <x v="1"/>
    <n v="13"/>
    <x v="1"/>
  </r>
  <r>
    <x v="535"/>
    <s v="DAT-054"/>
    <s v="Database"/>
    <s v="FortiOS"/>
    <s v="CVE-2022-30190"/>
    <x v="0"/>
    <n v="7.8"/>
    <x v="273"/>
    <x v="1"/>
    <s v="Internal"/>
    <x v="0"/>
    <s v="Sales"/>
    <s v="Felipe Martins"/>
    <d v="2026-09-05T00:00:00"/>
    <d v="2026-09-16T00:00:00"/>
    <x v="0"/>
    <m/>
    <x v="0"/>
    <n v="6"/>
    <x v="2"/>
  </r>
  <r>
    <x v="536"/>
    <s v="DAT-107"/>
    <s v="Database"/>
    <s v="VMware ESXi"/>
    <s v="CVE-2025-3021"/>
    <x v="4"/>
    <n v="8.6"/>
    <x v="81"/>
    <x v="1"/>
    <s v="Internal"/>
    <x v="2"/>
    <s v="Operations"/>
    <s v="Henrique Dias"/>
    <d v="2026-08-24T00:00:00"/>
    <d v="2026-09-07T00:00:00"/>
    <x v="1"/>
    <m/>
    <x v="0"/>
    <n v="4"/>
    <x v="1"/>
  </r>
  <r>
    <x v="537"/>
    <s v="FIR-025"/>
    <s v="Firewall"/>
    <s v="Confluence"/>
    <s v="CVE-2025-7710"/>
    <x v="2"/>
    <n v="7.5"/>
    <x v="197"/>
    <x v="1"/>
    <s v="Internal"/>
    <x v="2"/>
    <s v="Legal"/>
    <s v="Marcos Teixeira"/>
    <d v="2026-08-12T00:00:00"/>
    <d v="2026-08-26T00:00:00"/>
    <x v="1"/>
    <m/>
    <x v="0"/>
    <n v="3"/>
    <x v="1"/>
  </r>
  <r>
    <x v="538"/>
    <s v="LIN-095"/>
    <s v="Linux Server"/>
    <s v="Apache HTTP Server"/>
    <s v="CVE-2023-34362"/>
    <x v="3"/>
    <n v="9.8000000000000007"/>
    <x v="215"/>
    <x v="1"/>
    <s v="Internet-facing"/>
    <x v="0"/>
    <s v="Engineering"/>
    <s v="Diego Alves"/>
    <d v="2026-08-25T00:00:00"/>
    <d v="2026-08-29T00:00:00"/>
    <x v="0"/>
    <m/>
    <x v="1"/>
    <n v="10"/>
    <x v="0"/>
  </r>
  <r>
    <x v="539"/>
    <s v="LIN-075"/>
    <s v="Linux Server"/>
    <s v="Microsoft Exchange"/>
    <s v="CVE-2025-7710"/>
    <x v="2"/>
    <n v="7.5"/>
    <x v="317"/>
    <x v="1"/>
    <s v="Internal"/>
    <x v="2"/>
    <s v="Engineering"/>
    <s v="Carla Mendes"/>
    <d v="2026-08-22T00:00:00"/>
    <d v="2026-09-05T00:00:00"/>
    <x v="1"/>
    <m/>
    <x v="0"/>
    <n v="4"/>
    <x v="1"/>
  </r>
  <r>
    <x v="540"/>
    <s v="LIN-119"/>
    <s v="Linux Server"/>
    <s v="Windows Server"/>
    <s v="CVE-2024-6387"/>
    <x v="0"/>
    <n v="8.1"/>
    <x v="352"/>
    <x v="0"/>
    <s v="Restricted"/>
    <x v="1"/>
    <s v="Finance"/>
    <s v="Bruno Lima"/>
    <d v="2026-09-10T00:00:00"/>
    <d v="2026-09-24T00:00:00"/>
    <x v="0"/>
    <m/>
    <x v="0"/>
    <n v="7"/>
    <x v="3"/>
  </r>
  <r>
    <x v="541"/>
    <s v="WEB-071"/>
    <s v="Web Server"/>
    <s v="Apache HTTP Server"/>
    <s v="CVE-2024-6387"/>
    <x v="0"/>
    <n v="8.1"/>
    <x v="68"/>
    <x v="1"/>
    <s v="Internal"/>
    <x v="0"/>
    <s v="Sales"/>
    <s v="Felipe Martins"/>
    <d v="2026-08-21T00:00:00"/>
    <d v="2026-09-04T00:00:00"/>
    <x v="0"/>
    <m/>
    <x v="0"/>
    <n v="6"/>
    <x v="2"/>
  </r>
  <r>
    <x v="542"/>
    <s v="WIN-101"/>
    <s v="Windows Server"/>
    <s v="OpenSSH"/>
    <s v="CVE-2023-34362"/>
    <x v="3"/>
    <n v="9.8000000000000007"/>
    <x v="353"/>
    <x v="1"/>
    <s v="Restricted"/>
    <x v="1"/>
    <s v="Operations"/>
    <s v="Isabela Nunes"/>
    <d v="2026-08-27T00:00:00"/>
    <d v="2026-09-03T00:00:00"/>
    <x v="1"/>
    <m/>
    <x v="0"/>
    <n v="7"/>
    <x v="1"/>
  </r>
  <r>
    <x v="543"/>
    <s v="WOR-029"/>
    <s v="Workstation"/>
    <s v="VMware ESXi"/>
    <s v="CVE-2025-3021"/>
    <x v="4"/>
    <n v="8.6"/>
    <x v="354"/>
    <x v="1"/>
    <s v="Restricted"/>
    <x v="2"/>
    <s v="Finance"/>
    <s v="Bruno Lima"/>
    <d v="2026-08-22T00:00:00"/>
    <d v="2026-09-05T00:00:00"/>
    <x v="1"/>
    <m/>
    <x v="0"/>
    <n v="5"/>
    <x v="1"/>
  </r>
  <r>
    <x v="544"/>
    <s v="WEB-068"/>
    <s v="Web Server"/>
    <s v="Linux Kernel"/>
    <s v="CVE-2024-21413"/>
    <x v="0"/>
    <n v="9.8000000000000007"/>
    <x v="55"/>
    <x v="1"/>
    <s v="Internal"/>
    <x v="1"/>
    <s v="Engineering"/>
    <s v="Diego Alves"/>
    <d v="2026-08-01T00:00:00"/>
    <d v="2026-08-05T00:00:00"/>
    <x v="0"/>
    <m/>
    <x v="0"/>
    <n v="7"/>
    <x v="3"/>
  </r>
  <r>
    <x v="545"/>
    <s v="FIR-079"/>
    <s v="Firewall"/>
    <s v="PostgreSQL"/>
    <s v="CVE-2023-23397"/>
    <x v="1"/>
    <n v="9.8000000000000007"/>
    <x v="20"/>
    <x v="1"/>
    <s v="Internal"/>
    <x v="2"/>
    <s v="Engineering"/>
    <s v="Carla Mendes"/>
    <d v="2026-08-21T00:00:00"/>
    <d v="2026-08-28T00:00:00"/>
    <x v="1"/>
    <m/>
    <x v="0"/>
    <n v="5"/>
    <x v="1"/>
  </r>
  <r>
    <x v="546"/>
    <s v="WOR-070"/>
    <s v="Workstation"/>
    <s v="Microsoft SQL Server"/>
    <s v="CVE-2021-44228"/>
    <x v="0"/>
    <n v="10"/>
    <x v="269"/>
    <x v="0"/>
    <s v="Internet-facing"/>
    <x v="0"/>
    <s v="Sales"/>
    <s v="Gabriela Souza"/>
    <d v="2026-09-03T00:00:00"/>
    <d v="2026-09-10T00:00:00"/>
    <x v="0"/>
    <m/>
    <x v="1"/>
    <n v="13"/>
    <x v="4"/>
  </r>
  <r>
    <x v="547"/>
    <s v="WEB-058"/>
    <s v="Web Server"/>
    <s v="Microsoft Exchange"/>
    <s v="CVE-2024-21413"/>
    <x v="0"/>
    <n v="9.8000000000000007"/>
    <x v="234"/>
    <x v="0"/>
    <s v="Internal"/>
    <x v="2"/>
    <s v="Operations"/>
    <s v="Henrique Dias"/>
    <d v="2026-08-13T00:00:00"/>
    <d v="2026-08-20T00:00:00"/>
    <x v="1"/>
    <m/>
    <x v="0"/>
    <n v="8"/>
    <x v="1"/>
  </r>
  <r>
    <x v="548"/>
    <s v="LIN-099"/>
    <s v="Linux Server"/>
    <s v="Linux Kernel"/>
    <s v="CVE-2023-34362"/>
    <x v="3"/>
    <n v="9.8000000000000007"/>
    <x v="355"/>
    <x v="1"/>
    <s v="Internet-facing"/>
    <x v="1"/>
    <s v="Finance"/>
    <s v="Ana Costa"/>
    <d v="2026-08-01T00:00:00"/>
    <d v="2026-08-08T00:00:00"/>
    <x v="0"/>
    <m/>
    <x v="1"/>
    <n v="10"/>
    <x v="0"/>
  </r>
  <r>
    <x v="549"/>
    <s v="FIR-100"/>
    <s v="Firewall"/>
    <s v="VMware ESXi"/>
    <s v="CVE-2025-3021"/>
    <x v="4"/>
    <n v="8.6"/>
    <x v="356"/>
    <x v="1"/>
    <s v="Internal"/>
    <x v="0"/>
    <s v="IT"/>
    <s v="João Ribeiro"/>
    <d v="2026-08-28T00:00:00"/>
    <d v="2026-09-11T00:00:00"/>
    <x v="0"/>
    <m/>
    <x v="0"/>
    <n v="6"/>
    <x v="2"/>
  </r>
  <r>
    <x v="550"/>
    <s v="FIR-113"/>
    <s v="Firewall"/>
    <s v="GitLab"/>
    <s v="CVE-2021-44228"/>
    <x v="0"/>
    <n v="10"/>
    <x v="357"/>
    <x v="0"/>
    <s v="Internet-facing"/>
    <x v="0"/>
    <s v="Operations"/>
    <s v="Henrique Dias"/>
    <d v="2026-08-05T00:00:00"/>
    <d v="2026-08-12T00:00:00"/>
    <x v="1"/>
    <m/>
    <x v="1"/>
    <n v="15"/>
    <x v="1"/>
  </r>
  <r>
    <x v="551"/>
    <s v="DAT-092"/>
    <s v="Database"/>
    <s v="Microsoft Exchange"/>
    <s v="CVE-2024-6387"/>
    <x v="0"/>
    <n v="8.1"/>
    <x v="163"/>
    <x v="0"/>
    <s v="Internal"/>
    <x v="1"/>
    <s v="Finance"/>
    <s v="Ana Costa"/>
    <d v="2026-08-04T00:00:00"/>
    <d v="2026-08-15T00:00:00"/>
    <x v="1"/>
    <m/>
    <x v="0"/>
    <n v="7"/>
    <x v="1"/>
  </r>
  <r>
    <x v="552"/>
    <s v="LIN-117"/>
    <s v="Linux Server"/>
    <s v="GitLab"/>
    <s v="CVE-2025-7710"/>
    <x v="2"/>
    <n v="7.5"/>
    <x v="358"/>
    <x v="1"/>
    <s v="Restricted"/>
    <x v="0"/>
    <s v="Operations"/>
    <s v="Isabela Nunes"/>
    <d v="2026-08-25T00:00:00"/>
    <d v="2026-09-08T00:00:00"/>
    <x v="0"/>
    <m/>
    <x v="0"/>
    <n v="5"/>
    <x v="2"/>
  </r>
  <r>
    <x v="553"/>
    <s v="WOR-003"/>
    <s v="Workstation"/>
    <s v="VMware ESXi"/>
    <s v="CVE-2024-3094"/>
    <x v="6"/>
    <n v="10"/>
    <x v="291"/>
    <x v="0"/>
    <s v="Internal"/>
    <x v="2"/>
    <s v="Sales"/>
    <s v="Felipe Martins"/>
    <d v="2026-08-01T00:00:00"/>
    <d v="2026-08-08T00:00:00"/>
    <x v="3"/>
    <d v="2026-08-07T00:00:00"/>
    <x v="0"/>
    <n v="9"/>
    <x v="1"/>
  </r>
  <r>
    <x v="554"/>
    <s v="WIN-046"/>
    <s v="Windows Server"/>
    <s v="Apache HTTP Server"/>
    <s v="CVE-2023-34362"/>
    <x v="3"/>
    <n v="9.8000000000000007"/>
    <x v="83"/>
    <x v="1"/>
    <s v="Internet-facing"/>
    <x v="1"/>
    <s v="IT"/>
    <s v="Larissa Freitas"/>
    <d v="2026-08-19T00:00:00"/>
    <d v="2026-08-26T00:00:00"/>
    <x v="4"/>
    <m/>
    <x v="1"/>
    <n v="9"/>
    <x v="1"/>
  </r>
  <r>
    <x v="555"/>
    <s v="WIN-037"/>
    <s v="Windows Server"/>
    <s v="GitLab"/>
    <s v="CVE-2024-21413"/>
    <x v="0"/>
    <n v="9.8000000000000007"/>
    <x v="248"/>
    <x v="0"/>
    <s v="Restricted"/>
    <x v="0"/>
    <s v="Operations"/>
    <s v="Henrique Dias"/>
    <d v="2026-08-02T00:00:00"/>
    <d v="2026-08-09T00:00:00"/>
    <x v="3"/>
    <d v="2026-08-18T00:00:00"/>
    <x v="0"/>
    <n v="11"/>
    <x v="1"/>
  </r>
  <r>
    <x v="556"/>
    <s v="DAT-102"/>
    <s v="Database"/>
    <s v="Microsoft SQL Server"/>
    <s v="CVE-2023-34362"/>
    <x v="3"/>
    <n v="10"/>
    <x v="359"/>
    <x v="1"/>
    <s v="Internet-facing"/>
    <x v="0"/>
    <s v="IT"/>
    <s v="João Ribeiro"/>
    <d v="2026-09-10T00:00:00"/>
    <d v="2026-09-14T00:00:00"/>
    <x v="0"/>
    <m/>
    <x v="1"/>
    <n v="11"/>
    <x v="0"/>
  </r>
  <r>
    <x v="557"/>
    <s v="WEB-019"/>
    <s v="Web Server"/>
    <s v="Microsoft Exchange"/>
    <s v="CVE-2026-2173"/>
    <x v="1"/>
    <n v="8.8000000000000007"/>
    <x v="172"/>
    <x v="1"/>
    <s v="Restricted"/>
    <x v="2"/>
    <s v="Operations"/>
    <s v="Henrique Dias"/>
    <d v="2026-08-01T00:00:00"/>
    <d v="2026-08-15T00:00:00"/>
    <x v="3"/>
    <d v="2026-08-28T00:00:00"/>
    <x v="0"/>
    <n v="3"/>
    <x v="1"/>
  </r>
  <r>
    <x v="558"/>
    <s v="LIN-096"/>
    <s v="Linux Server"/>
    <s v="Jenkins"/>
    <s v="CVE-2021-44228"/>
    <x v="0"/>
    <n v="10"/>
    <x v="360"/>
    <x v="0"/>
    <s v="Internal"/>
    <x v="1"/>
    <s v="HR"/>
    <s v="Elisa Rocha"/>
    <d v="2026-08-27T00:00:00"/>
    <d v="2026-09-03T00:00:00"/>
    <x v="1"/>
    <m/>
    <x v="0"/>
    <n v="12"/>
    <x v="1"/>
  </r>
  <r>
    <x v="559"/>
    <s v="LIN-029"/>
    <s v="Linux Server"/>
    <s v="Microsoft SQL Server"/>
    <s v="CVE-2023-23397"/>
    <x v="1"/>
    <n v="9.8000000000000007"/>
    <x v="361"/>
    <x v="0"/>
    <s v="Internal"/>
    <x v="1"/>
    <s v="Engineering"/>
    <s v="Carla Mendes"/>
    <d v="2026-08-12T00:00:00"/>
    <d v="2026-08-19T00:00:00"/>
    <x v="0"/>
    <m/>
    <x v="0"/>
    <n v="10"/>
    <x v="0"/>
  </r>
  <r>
    <x v="560"/>
    <s v="WEB-060"/>
    <s v="Web Server"/>
    <s v="Linux Kernel"/>
    <s v="CVE-2022-30190"/>
    <x v="0"/>
    <n v="7.8"/>
    <x v="362"/>
    <x v="1"/>
    <s v="Internal"/>
    <x v="2"/>
    <s v="Legal"/>
    <s v="Marcos Teixeira"/>
    <d v="2026-08-05T00:00:00"/>
    <d v="2026-08-19T00:00:00"/>
    <x v="2"/>
    <d v="2026-08-11T00:00:00"/>
    <x v="0"/>
    <n v="4"/>
    <x v="1"/>
  </r>
  <r>
    <x v="561"/>
    <s v="LIN-093"/>
    <s v="Linux Server"/>
    <s v="Confluence"/>
    <s v="CVE-2023-23397"/>
    <x v="1"/>
    <n v="9.8000000000000007"/>
    <x v="19"/>
    <x v="1"/>
    <s v="Internal"/>
    <x v="0"/>
    <s v="Finance"/>
    <s v="Ana Costa"/>
    <d v="2026-08-23T00:00:00"/>
    <d v="2026-08-28T00:00:00"/>
    <x v="0"/>
    <m/>
    <x v="0"/>
    <n v="8"/>
    <x v="3"/>
  </r>
  <r>
    <x v="562"/>
    <s v="WEB-009"/>
    <s v="Web Server"/>
    <s v="FortiOS"/>
    <s v="CVE-2025-3021"/>
    <x v="4"/>
    <n v="8.6"/>
    <x v="328"/>
    <x v="1"/>
    <s v="Internal"/>
    <x v="0"/>
    <s v="HR"/>
    <s v="Elisa Rocha"/>
    <d v="2026-09-01T00:00:00"/>
    <d v="2026-09-15T00:00:00"/>
    <x v="1"/>
    <m/>
    <x v="0"/>
    <n v="6"/>
    <x v="1"/>
  </r>
  <r>
    <x v="563"/>
    <s v="WEB-020"/>
    <s v="Web Server"/>
    <s v="Windows Server"/>
    <s v="CVE-2023-23397"/>
    <x v="1"/>
    <n v="9.8000000000000007"/>
    <x v="363"/>
    <x v="0"/>
    <s v="Restricted"/>
    <x v="2"/>
    <s v="IT"/>
    <s v="João Ribeiro"/>
    <d v="2026-08-21T00:00:00"/>
    <d v="2026-08-28T00:00:00"/>
    <x v="0"/>
    <m/>
    <x v="0"/>
    <n v="9"/>
    <x v="3"/>
  </r>
  <r>
    <x v="564"/>
    <s v="WOR-032"/>
    <s v="Workstation"/>
    <s v="Jenkins"/>
    <s v="CVE-2025-3021"/>
    <x v="4"/>
    <n v="8.6"/>
    <x v="12"/>
    <x v="1"/>
    <s v="Internal"/>
    <x v="1"/>
    <s v="Finance"/>
    <s v="Bruno Lima"/>
    <d v="2026-08-28T00:00:00"/>
    <d v="2026-09-11T00:00:00"/>
    <x v="4"/>
    <m/>
    <x v="0"/>
    <n v="4"/>
    <x v="1"/>
  </r>
  <r>
    <x v="565"/>
    <s v="FIR-094"/>
    <s v="Firewall"/>
    <s v="Confluence"/>
    <s v="CVE-2024-6387"/>
    <x v="0"/>
    <n v="8.1"/>
    <x v="29"/>
    <x v="0"/>
    <s v="Restricted"/>
    <x v="2"/>
    <s v="Engineering"/>
    <s v="Diego Alves"/>
    <d v="2026-08-23T00:00:00"/>
    <d v="2026-09-06T00:00:00"/>
    <x v="0"/>
    <m/>
    <x v="0"/>
    <n v="6"/>
    <x v="2"/>
  </r>
  <r>
    <x v="566"/>
    <s v="WIN-023"/>
    <s v="Windows Server"/>
    <s v="Windows Server"/>
    <s v="CVE-2022-30190"/>
    <x v="0"/>
    <n v="7.8"/>
    <x v="69"/>
    <x v="1"/>
    <s v="Internal"/>
    <x v="2"/>
    <s v="Operations"/>
    <s v="Henrique Dias"/>
    <d v="2026-08-06T00:00:00"/>
    <d v="2026-08-20T00:00:00"/>
    <x v="0"/>
    <m/>
    <x v="0"/>
    <n v="3"/>
    <x v="2"/>
  </r>
  <r>
    <x v="567"/>
    <s v="LIN-034"/>
    <s v="Linux Server"/>
    <s v="VMware ESXi"/>
    <s v="CVE-2021-44228"/>
    <x v="0"/>
    <n v="10"/>
    <x v="364"/>
    <x v="0"/>
    <s v="Internet-facing"/>
    <x v="0"/>
    <s v="Operations"/>
    <s v="Henrique Dias"/>
    <d v="2026-08-05T00:00:00"/>
    <d v="2026-08-12T00:00:00"/>
    <x v="1"/>
    <m/>
    <x v="1"/>
    <n v="13"/>
    <x v="1"/>
  </r>
  <r>
    <x v="568"/>
    <s v="WEB-075"/>
    <s v="Web Server"/>
    <s v="Windows Server"/>
    <s v="CVE-2024-3094"/>
    <x v="6"/>
    <n v="10"/>
    <x v="3"/>
    <x v="0"/>
    <s v="Internet-facing"/>
    <x v="0"/>
    <s v="Legal"/>
    <s v="Marcos Teixeira"/>
    <d v="2026-08-03T00:00:00"/>
    <d v="2026-08-10T00:00:00"/>
    <x v="3"/>
    <d v="2026-09-04T00:00:00"/>
    <x v="1"/>
    <n v="14"/>
    <x v="1"/>
  </r>
  <r>
    <x v="569"/>
    <s v="DAT-029"/>
    <s v="Database"/>
    <s v="Jenkins"/>
    <s v="CVE-2023-23397"/>
    <x v="1"/>
    <n v="9.8000000000000007"/>
    <x v="365"/>
    <x v="1"/>
    <s v="Internal"/>
    <x v="0"/>
    <s v="HR"/>
    <s v="Elisa Rocha"/>
    <d v="2026-08-09T00:00:00"/>
    <d v="2026-08-16T00:00:00"/>
    <x v="0"/>
    <m/>
    <x v="0"/>
    <n v="9"/>
    <x v="3"/>
  </r>
  <r>
    <x v="570"/>
    <s v="WOR-065"/>
    <s v="Workstation"/>
    <s v="VMware ESXi"/>
    <s v="CVE-2026-1847"/>
    <x v="0"/>
    <n v="9.8000000000000007"/>
    <x v="12"/>
    <x v="1"/>
    <s v="Internal"/>
    <x v="0"/>
    <s v="Sales"/>
    <s v="Felipe Martins"/>
    <d v="2026-08-16T00:00:00"/>
    <d v="2026-08-23T00:00:00"/>
    <x v="2"/>
    <d v="2026-08-28T00:00:00"/>
    <x v="0"/>
    <n v="7"/>
    <x v="1"/>
  </r>
  <r>
    <x v="571"/>
    <s v="LIN-023"/>
    <s v="Linux Server"/>
    <s v="Windows Server"/>
    <s v="CVE-2023-23397"/>
    <x v="1"/>
    <n v="9.8000000000000007"/>
    <x v="287"/>
    <x v="1"/>
    <s v="Internal"/>
    <x v="0"/>
    <s v="Sales"/>
    <s v="Gabriela Souza"/>
    <d v="2026-08-10T00:00:00"/>
    <d v="2026-08-17T00:00:00"/>
    <x v="2"/>
    <d v="2026-09-11T00:00:00"/>
    <x v="0"/>
    <n v="7"/>
    <x v="1"/>
  </r>
  <r>
    <x v="572"/>
    <s v="LIN-098"/>
    <s v="Linux Server"/>
    <s v="PostgreSQL"/>
    <s v="CVE-2024-21413"/>
    <x v="0"/>
    <n v="9.8000000000000007"/>
    <x v="148"/>
    <x v="0"/>
    <s v="Internal"/>
    <x v="0"/>
    <s v="Finance"/>
    <s v="Ana Costa"/>
    <d v="2026-08-24T00:00:00"/>
    <d v="2026-08-31T00:00:00"/>
    <x v="0"/>
    <m/>
    <x v="0"/>
    <n v="11"/>
    <x v="0"/>
  </r>
  <r>
    <x v="573"/>
    <s v="WOR-050"/>
    <s v="Workstation"/>
    <s v="Confluence"/>
    <s v="CVE-2024-21413"/>
    <x v="0"/>
    <n v="9.8000000000000007"/>
    <x v="4"/>
    <x v="1"/>
    <s v="Internal"/>
    <x v="2"/>
    <s v="Operations"/>
    <s v="Isabela Nunes"/>
    <d v="2026-08-03T00:00:00"/>
    <d v="2026-08-10T00:00:00"/>
    <x v="0"/>
    <m/>
    <x v="0"/>
    <n v="4"/>
    <x v="2"/>
  </r>
  <r>
    <x v="574"/>
    <s v="FIR-067"/>
    <s v="Firewall"/>
    <s v="Microsoft SQL Server"/>
    <s v="CVE-2022-30190"/>
    <x v="0"/>
    <n v="7.8"/>
    <x v="2"/>
    <x v="1"/>
    <s v="Internal"/>
    <x v="0"/>
    <s v="Finance"/>
    <s v="Ana Costa"/>
    <d v="2026-08-17T00:00:00"/>
    <d v="2026-08-31T00:00:00"/>
    <x v="1"/>
    <m/>
    <x v="0"/>
    <n v="5"/>
    <x v="1"/>
  </r>
  <r>
    <x v="575"/>
    <s v="FIR-049"/>
    <s v="Firewall"/>
    <s v="Windows Server"/>
    <s v="CVE-2024-6387"/>
    <x v="0"/>
    <n v="8.1"/>
    <x v="366"/>
    <x v="1"/>
    <s v="Internal"/>
    <x v="0"/>
    <s v="Sales"/>
    <s v="Gabriela Souza"/>
    <d v="2026-08-05T00:00:00"/>
    <d v="2026-08-19T00:00:00"/>
    <x v="0"/>
    <m/>
    <x v="0"/>
    <n v="4"/>
    <x v="2"/>
  </r>
  <r>
    <x v="576"/>
    <s v="WEB-052"/>
    <s v="Web Server"/>
    <s v="FortiOS"/>
    <s v="CVE-2024-6387"/>
    <x v="0"/>
    <n v="8.1"/>
    <x v="367"/>
    <x v="0"/>
    <s v="Internal"/>
    <x v="2"/>
    <s v="Engineering"/>
    <s v="Carla Mendes"/>
    <d v="2026-08-31T00:00:00"/>
    <d v="2026-09-14T00:00:00"/>
    <x v="0"/>
    <m/>
    <x v="0"/>
    <n v="6"/>
    <x v="2"/>
  </r>
  <r>
    <x v="577"/>
    <s v="LIN-057"/>
    <s v="Linux Server"/>
    <s v="PostgreSQL"/>
    <s v="CVE-2025-4912"/>
    <x v="5"/>
    <n v="9.1"/>
    <x v="368"/>
    <x v="1"/>
    <s v="Internal"/>
    <x v="0"/>
    <s v="Operations"/>
    <s v="Isabela Nunes"/>
    <d v="2026-08-05T00:00:00"/>
    <d v="2026-08-12T00:00:00"/>
    <x v="1"/>
    <m/>
    <x v="0"/>
    <n v="8"/>
    <x v="1"/>
  </r>
  <r>
    <x v="578"/>
    <s v="LIN-024"/>
    <s v="Linux Server"/>
    <s v="FortiOS"/>
    <s v="CVE-2025-4912"/>
    <x v="5"/>
    <n v="9.1"/>
    <x v="169"/>
    <x v="1"/>
    <s v="Internal"/>
    <x v="0"/>
    <s v="Engineering"/>
    <s v="Carla Mendes"/>
    <d v="2026-09-08T00:00:00"/>
    <d v="2026-09-15T00:00:00"/>
    <x v="0"/>
    <m/>
    <x v="0"/>
    <n v="7"/>
    <x v="3"/>
  </r>
  <r>
    <x v="579"/>
    <s v="LIN-054"/>
    <s v="Linux Server"/>
    <s v="Jenkins"/>
    <s v="CVE-2024-6387"/>
    <x v="0"/>
    <n v="8.1"/>
    <x v="251"/>
    <x v="0"/>
    <s v="Internal"/>
    <x v="0"/>
    <s v="IT"/>
    <s v="João Ribeiro"/>
    <d v="2026-08-31T00:00:00"/>
    <d v="2026-09-14T00:00:00"/>
    <x v="0"/>
    <m/>
    <x v="0"/>
    <n v="9"/>
    <x v="3"/>
  </r>
  <r>
    <x v="580"/>
    <s v="DAT-003"/>
    <s v="Database"/>
    <s v="Microsoft Exchange"/>
    <s v="CVE-2025-3021"/>
    <x v="4"/>
    <n v="8.6"/>
    <x v="6"/>
    <x v="1"/>
    <s v="Restricted"/>
    <x v="0"/>
    <s v="IT"/>
    <s v="João Ribeiro"/>
    <d v="2026-08-09T00:00:00"/>
    <d v="2026-08-23T00:00:00"/>
    <x v="2"/>
    <d v="2026-08-21T00:00:00"/>
    <x v="0"/>
    <n v="6"/>
    <x v="1"/>
  </r>
  <r>
    <x v="581"/>
    <s v="WEB-006"/>
    <s v="Web Server"/>
    <s v="OpenSSH"/>
    <s v="CVE-2023-23397"/>
    <x v="1"/>
    <n v="9.8000000000000007"/>
    <x v="154"/>
    <x v="0"/>
    <s v="Internal"/>
    <x v="1"/>
    <s v="IT"/>
    <s v="Larissa Freitas"/>
    <d v="2026-08-17T00:00:00"/>
    <d v="2026-08-24T00:00:00"/>
    <x v="0"/>
    <m/>
    <x v="0"/>
    <n v="10"/>
    <x v="0"/>
  </r>
  <r>
    <x v="582"/>
    <s v="WEB-082"/>
    <s v="Web Server"/>
    <s v="Jenkins"/>
    <s v="CVE-2026-1847"/>
    <x v="0"/>
    <n v="9.8000000000000007"/>
    <x v="369"/>
    <x v="1"/>
    <s v="Internal"/>
    <x v="2"/>
    <s v="Operations"/>
    <s v="Henrique Dias"/>
    <d v="2026-08-19T00:00:00"/>
    <d v="2026-08-26T00:00:00"/>
    <x v="0"/>
    <m/>
    <x v="0"/>
    <n v="7"/>
    <x v="3"/>
  </r>
  <r>
    <x v="583"/>
    <s v="WEB-061"/>
    <s v="Web Server"/>
    <s v="OpenSSH"/>
    <s v="CVE-2024-21413"/>
    <x v="0"/>
    <n v="10"/>
    <x v="370"/>
    <x v="0"/>
    <s v="Internet-facing"/>
    <x v="0"/>
    <s v="Sales"/>
    <s v="Felipe Martins"/>
    <d v="2026-08-27T00:00:00"/>
    <d v="2026-09-03T00:00:00"/>
    <x v="0"/>
    <m/>
    <x v="1"/>
    <n v="12"/>
    <x v="0"/>
  </r>
  <r>
    <x v="584"/>
    <s v="FIR-066"/>
    <s v="Firewall"/>
    <s v="OpenSSH"/>
    <s v="CVE-2025-7710"/>
    <x v="2"/>
    <n v="7.5"/>
    <x v="371"/>
    <x v="1"/>
    <s v="Internal"/>
    <x v="0"/>
    <s v="Operations"/>
    <s v="Henrique Dias"/>
    <d v="2026-08-22T00:00:00"/>
    <d v="2026-09-05T00:00:00"/>
    <x v="3"/>
    <d v="2026-08-28T00:00:00"/>
    <x v="0"/>
    <n v="6"/>
    <x v="1"/>
  </r>
  <r>
    <x v="585"/>
    <s v="DAT-017"/>
    <s v="Database"/>
    <s v="Microsoft Exchange"/>
    <s v="CVE-2026-2173"/>
    <x v="1"/>
    <n v="8.8000000000000007"/>
    <x v="49"/>
    <x v="1"/>
    <s v="Internet-facing"/>
    <x v="1"/>
    <s v="Sales"/>
    <s v="Gabriela Souza"/>
    <d v="2026-08-13T00:00:00"/>
    <d v="2026-08-27T00:00:00"/>
    <x v="0"/>
    <m/>
    <x v="1"/>
    <n v="6"/>
    <x v="2"/>
  </r>
  <r>
    <x v="586"/>
    <s v="LIN-078"/>
    <s v="Linux Server"/>
    <s v="OpenSSH"/>
    <s v="CVE-2026-2173"/>
    <x v="1"/>
    <n v="8.8000000000000007"/>
    <x v="124"/>
    <x v="1"/>
    <s v="Internal"/>
    <x v="1"/>
    <s v="Legal"/>
    <s v="Marcos Teixeira"/>
    <d v="2026-08-31T00:00:00"/>
    <d v="2026-09-14T00:00:00"/>
    <x v="2"/>
    <d v="2026-09-04T00:00:00"/>
    <x v="0"/>
    <n v="4"/>
    <x v="1"/>
  </r>
  <r>
    <x v="587"/>
    <s v="DAT-085"/>
    <s v="Database"/>
    <s v="Windows Server"/>
    <s v="CVE-2025-4912"/>
    <x v="5"/>
    <n v="9.1"/>
    <x v="372"/>
    <x v="1"/>
    <s v="Internal"/>
    <x v="0"/>
    <s v="Finance"/>
    <s v="Bruno Lima"/>
    <d v="2026-09-04T00:00:00"/>
    <d v="2026-09-11T00:00:00"/>
    <x v="4"/>
    <m/>
    <x v="0"/>
    <n v="6"/>
    <x v="1"/>
  </r>
  <r>
    <x v="588"/>
    <s v="DAT-048"/>
    <s v="Database"/>
    <s v="Jenkins"/>
    <s v="CVE-2026-1847"/>
    <x v="0"/>
    <n v="9.8000000000000007"/>
    <x v="354"/>
    <x v="1"/>
    <s v="Restricted"/>
    <x v="2"/>
    <s v="Operations"/>
    <s v="Isabela Nunes"/>
    <d v="2026-09-03T00:00:00"/>
    <d v="2026-09-10T00:00:00"/>
    <x v="4"/>
    <m/>
    <x v="0"/>
    <n v="7"/>
    <x v="1"/>
  </r>
  <r>
    <x v="589"/>
    <s v="DAT-045"/>
    <s v="Database"/>
    <s v="Jenkins"/>
    <s v="CVE-2023-23397"/>
    <x v="1"/>
    <n v="9.8000000000000007"/>
    <x v="128"/>
    <x v="1"/>
    <s v="Internet-facing"/>
    <x v="0"/>
    <s v="Legal"/>
    <s v="Marcos Teixeira"/>
    <d v="2026-09-06T00:00:00"/>
    <d v="2026-09-11T00:00:00"/>
    <x v="0"/>
    <m/>
    <x v="1"/>
    <n v="9"/>
    <x v="3"/>
  </r>
  <r>
    <x v="590"/>
    <s v="LIN-117"/>
    <s v="Linux Server"/>
    <s v="Microsoft SQL Server"/>
    <s v="CVE-2026-2173"/>
    <x v="1"/>
    <n v="9.1999999999999993"/>
    <x v="236"/>
    <x v="1"/>
    <s v="Internet-facing"/>
    <x v="0"/>
    <s v="Sales"/>
    <s v="Gabriela Souza"/>
    <d v="2026-09-08T00:00:00"/>
    <d v="2026-09-15T00:00:00"/>
    <x v="0"/>
    <m/>
    <x v="1"/>
    <n v="8"/>
    <x v="3"/>
  </r>
  <r>
    <x v="591"/>
    <s v="LIN-001"/>
    <s v="Linux Server"/>
    <s v="Jenkins"/>
    <s v="CVE-2021-44228"/>
    <x v="0"/>
    <n v="10"/>
    <x v="373"/>
    <x v="1"/>
    <s v="Restricted"/>
    <x v="1"/>
    <s v="HR"/>
    <s v="Elisa Rocha"/>
    <d v="2026-09-06T00:00:00"/>
    <d v="2026-09-13T00:00:00"/>
    <x v="0"/>
    <m/>
    <x v="0"/>
    <n v="9"/>
    <x v="3"/>
  </r>
  <r>
    <x v="592"/>
    <s v="FIR-027"/>
    <s v="Firewall"/>
    <s v="FortiOS"/>
    <s v="CVE-2021-44228"/>
    <x v="0"/>
    <n v="10"/>
    <x v="342"/>
    <x v="0"/>
    <s v="Internal"/>
    <x v="1"/>
    <s v="Sales"/>
    <s v="Gabriela Souza"/>
    <d v="2026-08-07T00:00:00"/>
    <d v="2026-08-11T00:00:00"/>
    <x v="0"/>
    <m/>
    <x v="0"/>
    <n v="10"/>
    <x v="0"/>
  </r>
  <r>
    <x v="593"/>
    <s v="WEB-055"/>
    <s v="Web Server"/>
    <s v="FortiOS"/>
    <s v="CVE-2023-23397"/>
    <x v="1"/>
    <n v="9.8000000000000007"/>
    <x v="374"/>
    <x v="0"/>
    <s v="Internal"/>
    <x v="0"/>
    <s v="Legal"/>
    <s v="Marcos Teixeira"/>
    <d v="2026-08-26T00:00:00"/>
    <d v="2026-09-02T00:00:00"/>
    <x v="2"/>
    <d v="2026-09-23T00:00:00"/>
    <x v="0"/>
    <n v="10"/>
    <x v="1"/>
  </r>
  <r>
    <x v="594"/>
    <s v="WOR-072"/>
    <s v="Workstation"/>
    <s v="Confluence"/>
    <s v="CVE-2023-34362"/>
    <x v="3"/>
    <n v="9.8000000000000007"/>
    <x v="375"/>
    <x v="1"/>
    <s v="Internal"/>
    <x v="0"/>
    <s v="Engineering"/>
    <s v="Diego Alves"/>
    <d v="2026-08-17T00:00:00"/>
    <d v="2026-08-24T00:00:00"/>
    <x v="1"/>
    <m/>
    <x v="0"/>
    <n v="8"/>
    <x v="1"/>
  </r>
  <r>
    <x v="595"/>
    <s v="FIR-051"/>
    <s v="Firewall"/>
    <s v="OpenSSH"/>
    <s v="CVE-2021-44228"/>
    <x v="0"/>
    <n v="10"/>
    <x v="376"/>
    <x v="1"/>
    <s v="Internet-facing"/>
    <x v="0"/>
    <s v="Legal"/>
    <s v="Marcos Teixeira"/>
    <d v="2026-08-08T00:00:00"/>
    <d v="2026-08-15T00:00:00"/>
    <x v="0"/>
    <m/>
    <x v="1"/>
    <n v="11"/>
    <x v="0"/>
  </r>
  <r>
    <x v="596"/>
    <s v="FIR-021"/>
    <s v="Firewall"/>
    <s v="PostgreSQL"/>
    <s v="CVE-2026-2173"/>
    <x v="1"/>
    <n v="8.8000000000000007"/>
    <x v="377"/>
    <x v="1"/>
    <s v="Restricted"/>
    <x v="1"/>
    <s v="Legal"/>
    <s v="Marcos Teixeira"/>
    <d v="2026-09-02T00:00:00"/>
    <d v="2026-09-16T00:00:00"/>
    <x v="1"/>
    <m/>
    <x v="0"/>
    <n v="6"/>
    <x v="1"/>
  </r>
  <r>
    <x v="597"/>
    <s v="WEB-079"/>
    <s v="Web Server"/>
    <s v="VMware ESXi"/>
    <s v="CVE-2021-44228"/>
    <x v="0"/>
    <n v="10"/>
    <x v="361"/>
    <x v="1"/>
    <s v="Internal"/>
    <x v="0"/>
    <s v="Legal"/>
    <s v="Marcos Teixeira"/>
    <d v="2026-08-11T00:00:00"/>
    <d v="2026-08-18T00:00:00"/>
    <x v="4"/>
    <m/>
    <x v="0"/>
    <n v="9"/>
    <x v="1"/>
  </r>
  <r>
    <x v="598"/>
    <s v="WIN-106"/>
    <s v="Windows Server"/>
    <s v="Confluence"/>
    <s v="CVE-2025-4912"/>
    <x v="5"/>
    <n v="9.3000000000000007"/>
    <x v="242"/>
    <x v="1"/>
    <s v="Internet-facing"/>
    <x v="0"/>
    <s v="Legal"/>
    <s v="Marcos Teixeira"/>
    <d v="2026-09-08T00:00:00"/>
    <d v="2026-09-15T00:00:00"/>
    <x v="2"/>
    <d v="2026-09-14T00:00:00"/>
    <x v="1"/>
    <n v="9"/>
    <x v="1"/>
  </r>
  <r>
    <x v="599"/>
    <s v="WOR-011"/>
    <s v="Workstation"/>
    <s v="Microsoft Exchange"/>
    <s v="CVE-2023-23397"/>
    <x v="1"/>
    <n v="9.8000000000000007"/>
    <x v="77"/>
    <x v="1"/>
    <s v="Internal"/>
    <x v="0"/>
    <s v="Engineering"/>
    <s v="Diego Alves"/>
    <d v="2026-08-26T00:00:00"/>
    <d v="2026-09-02T00:00:00"/>
    <x v="0"/>
    <m/>
    <x v="0"/>
    <n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AF202-3409-452C-9ABF-B15118716421}" name="Tabela dinâmica5" cacheId="10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D26:J39" firstHeaderRow="1" firstDataRow="1" firstDataCol="6" rowPageCount="1" colPageCount="1"/>
  <pivotFields count="20">
    <pivotField axis="axisRow" compact="0" outline="0" showAll="0" defaultSubtotal="0">
      <items count="6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5"/>
        <item x="3"/>
        <item x="2"/>
        <item x="1"/>
        <item x="0"/>
        <item x="4"/>
        <item x="6"/>
      </items>
    </pivotField>
    <pivotField compact="0" outline="0" showAll="0" defaultSubtotal="0"/>
    <pivotField axis="axisRow" compact="0" numFmtId="10" outline="0" showAll="0" defaultSubtotal="0">
      <items count="378">
        <item x="4"/>
        <item x="126"/>
        <item x="332"/>
        <item x="143"/>
        <item x="270"/>
        <item x="370"/>
        <item x="309"/>
        <item x="212"/>
        <item x="349"/>
        <item x="260"/>
        <item x="88"/>
        <item x="224"/>
        <item x="293"/>
        <item x="11"/>
        <item x="156"/>
        <item x="153"/>
        <item x="335"/>
        <item x="366"/>
        <item x="326"/>
        <item x="229"/>
        <item x="99"/>
        <item x="78"/>
        <item x="239"/>
        <item x="286"/>
        <item x="75"/>
        <item x="102"/>
        <item x="44"/>
        <item x="8"/>
        <item x="31"/>
        <item x="21"/>
        <item x="100"/>
        <item x="265"/>
        <item x="238"/>
        <item x="312"/>
        <item x="49"/>
        <item x="104"/>
        <item x="110"/>
        <item x="288"/>
        <item x="37"/>
        <item x="112"/>
        <item x="7"/>
        <item x="191"/>
        <item x="141"/>
        <item x="98"/>
        <item x="247"/>
        <item x="372"/>
        <item x="266"/>
        <item x="69"/>
        <item x="2"/>
        <item x="236"/>
        <item x="280"/>
        <item x="352"/>
        <item x="172"/>
        <item x="160"/>
        <item x="39"/>
        <item x="170"/>
        <item x="291"/>
        <item x="339"/>
        <item x="158"/>
        <item x="228"/>
        <item x="256"/>
        <item x="330"/>
        <item x="246"/>
        <item x="93"/>
        <item x="166"/>
        <item x="197"/>
        <item x="300"/>
        <item x="274"/>
        <item x="310"/>
        <item x="367"/>
        <item x="168"/>
        <item x="171"/>
        <item x="347"/>
        <item x="70"/>
        <item x="32"/>
        <item x="269"/>
        <item x="194"/>
        <item x="122"/>
        <item x="107"/>
        <item x="20"/>
        <item x="27"/>
        <item x="111"/>
        <item x="161"/>
        <item x="221"/>
        <item x="24"/>
        <item x="187"/>
        <item x="192"/>
        <item x="155"/>
        <item x="374"/>
        <item x="287"/>
        <item x="65"/>
        <item x="71"/>
        <item x="48"/>
        <item x="244"/>
        <item x="123"/>
        <item x="34"/>
        <item x="350"/>
        <item x="52"/>
        <item x="22"/>
        <item x="234"/>
        <item x="264"/>
        <item x="146"/>
        <item x="12"/>
        <item x="364"/>
        <item x="163"/>
        <item x="308"/>
        <item x="139"/>
        <item x="5"/>
        <item x="165"/>
        <item x="240"/>
        <item x="201"/>
        <item x="281"/>
        <item x="79"/>
        <item x="227"/>
        <item x="200"/>
        <item x="127"/>
        <item x="94"/>
        <item x="185"/>
        <item x="282"/>
        <item x="140"/>
        <item x="188"/>
        <item x="15"/>
        <item x="342"/>
        <item x="17"/>
        <item x="131"/>
        <item x="226"/>
        <item x="114"/>
        <item x="29"/>
        <item x="138"/>
        <item x="284"/>
        <item x="173"/>
        <item x="66"/>
        <item x="150"/>
        <item x="128"/>
        <item x="1"/>
        <item x="341"/>
        <item x="186"/>
        <item x="294"/>
        <item x="124"/>
        <item x="313"/>
        <item x="319"/>
        <item x="322"/>
        <item x="358"/>
        <item x="252"/>
        <item x="6"/>
        <item x="254"/>
        <item x="324"/>
        <item x="169"/>
        <item x="3"/>
        <item x="45"/>
        <item x="23"/>
        <item x="76"/>
        <item x="47"/>
        <item x="251"/>
        <item x="0"/>
        <item x="19"/>
        <item x="58"/>
        <item x="316"/>
        <item x="154"/>
        <item x="174"/>
        <item x="61"/>
        <item x="36"/>
        <item x="209"/>
        <item x="302"/>
        <item x="258"/>
        <item x="363"/>
        <item x="145"/>
        <item x="279"/>
        <item x="26"/>
        <item x="375"/>
        <item x="151"/>
        <item x="129"/>
        <item x="219"/>
        <item x="250"/>
        <item x="144"/>
        <item x="148"/>
        <item x="321"/>
        <item x="54"/>
        <item x="162"/>
        <item x="273"/>
        <item x="121"/>
        <item x="10"/>
        <item x="376"/>
        <item x="213"/>
        <item x="328"/>
        <item x="329"/>
        <item x="56"/>
        <item x="351"/>
        <item x="14"/>
        <item x="301"/>
        <item x="205"/>
        <item x="243"/>
        <item x="179"/>
        <item x="195"/>
        <item x="215"/>
        <item x="85"/>
        <item x="103"/>
        <item x="203"/>
        <item x="135"/>
        <item x="89"/>
        <item x="164"/>
        <item x="119"/>
        <item x="271"/>
        <item x="72"/>
        <item x="216"/>
        <item x="136"/>
        <item x="272"/>
        <item x="46"/>
        <item x="232"/>
        <item x="55"/>
        <item x="307"/>
        <item x="356"/>
        <item x="159"/>
        <item x="198"/>
        <item x="337"/>
        <item x="180"/>
        <item x="51"/>
        <item x="336"/>
        <item x="292"/>
        <item x="298"/>
        <item x="275"/>
        <item x="43"/>
        <item x="359"/>
        <item x="41"/>
        <item x="30"/>
        <item x="333"/>
        <item x="68"/>
        <item x="242"/>
        <item x="268"/>
        <item x="9"/>
        <item x="361"/>
        <item x="193"/>
        <item x="353"/>
        <item x="241"/>
        <item x="320"/>
        <item x="344"/>
        <item x="222"/>
        <item x="80"/>
        <item x="189"/>
        <item x="231"/>
        <item x="134"/>
        <item x="147"/>
        <item x="317"/>
        <item x="217"/>
        <item x="92"/>
        <item x="303"/>
        <item x="108"/>
        <item x="106"/>
        <item x="113"/>
        <item x="177"/>
        <item x="248"/>
        <item x="290"/>
        <item x="262"/>
        <item x="199"/>
        <item x="130"/>
        <item x="81"/>
        <item x="96"/>
        <item x="84"/>
        <item x="207"/>
        <item x="237"/>
        <item x="101"/>
        <item x="118"/>
        <item x="105"/>
        <item x="63"/>
        <item x="137"/>
        <item x="190"/>
        <item x="278"/>
        <item x="208"/>
        <item x="109"/>
        <item x="261"/>
        <item x="202"/>
        <item x="296"/>
        <item x="83"/>
        <item x="362"/>
        <item x="152"/>
        <item x="33"/>
        <item x="42"/>
        <item x="233"/>
        <item x="125"/>
        <item x="263"/>
        <item x="142"/>
        <item x="86"/>
        <item x="116"/>
        <item x="40"/>
        <item x="62"/>
        <item x="184"/>
        <item x="132"/>
        <item x="318"/>
        <item x="214"/>
        <item x="297"/>
        <item x="289"/>
        <item x="327"/>
        <item x="18"/>
        <item x="325"/>
        <item x="13"/>
        <item x="157"/>
        <item x="225"/>
        <item x="149"/>
        <item x="196"/>
        <item x="91"/>
        <item x="218"/>
        <item x="181"/>
        <item x="245"/>
        <item x="167"/>
        <item x="73"/>
        <item x="206"/>
        <item x="306"/>
        <item x="371"/>
        <item x="204"/>
        <item x="77"/>
        <item x="35"/>
        <item x="28"/>
        <item x="323"/>
        <item x="348"/>
        <item x="82"/>
        <item x="365"/>
        <item x="38"/>
        <item x="377"/>
        <item x="60"/>
        <item x="343"/>
        <item x="357"/>
        <item x="285"/>
        <item x="354"/>
        <item x="210"/>
        <item x="74"/>
        <item x="360"/>
        <item x="57"/>
        <item x="176"/>
        <item x="355"/>
        <item x="314"/>
        <item x="235"/>
        <item x="304"/>
        <item x="334"/>
        <item x="331"/>
        <item x="305"/>
        <item x="16"/>
        <item x="253"/>
        <item x="223"/>
        <item x="220"/>
        <item x="183"/>
        <item x="345"/>
        <item x="50"/>
        <item x="211"/>
        <item x="120"/>
        <item x="311"/>
        <item x="373"/>
        <item x="182"/>
        <item x="25"/>
        <item x="299"/>
        <item x="53"/>
        <item x="133"/>
        <item x="338"/>
        <item x="255"/>
        <item x="59"/>
        <item x="267"/>
        <item x="67"/>
        <item x="178"/>
        <item x="257"/>
        <item x="295"/>
        <item x="175"/>
        <item x="315"/>
        <item x="259"/>
        <item x="90"/>
        <item x="249"/>
        <item x="230"/>
        <item x="97"/>
        <item x="115"/>
        <item x="346"/>
        <item x="340"/>
        <item x="283"/>
        <item x="369"/>
        <item x="117"/>
        <item x="95"/>
        <item x="368"/>
        <item x="87"/>
        <item x="277"/>
        <item x="276"/>
        <item x="64"/>
      </items>
    </pivotField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axis="axisRow" compact="0" outline="0" showAll="0" defaultSubtotal="0">
      <items count="3">
        <item x="1"/>
        <item x="2"/>
        <item x="0"/>
      </items>
    </pivotField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dataField="1" compact="0" outline="0" showAll="0" defaultSubtotal="0"/>
    <pivotField axis="axisPage" compact="0" outline="0" showAll="0" defaultSubtotal="0">
      <items count="5">
        <item h="1" x="1"/>
        <item x="4"/>
        <item h="1" x="0"/>
        <item h="1" x="3"/>
        <item h="1" x="2"/>
      </items>
    </pivotField>
  </pivotFields>
  <rowFields count="6">
    <field x="0"/>
    <field x="10"/>
    <field x="5"/>
    <field x="7"/>
    <field x="8"/>
    <field x="17"/>
  </rowFields>
  <rowItems count="13">
    <i>
      <x v="11"/>
      <x v="2"/>
      <x v="3"/>
      <x v="181"/>
      <x v="1"/>
      <x v="1"/>
    </i>
    <i>
      <x v="135"/>
      <x v="2"/>
      <x v="4"/>
      <x v="371"/>
      <x v="1"/>
      <x/>
    </i>
    <i>
      <x v="141"/>
      <x v="2"/>
      <x v="3"/>
      <x v="95"/>
      <x v="1"/>
      <x v="1"/>
    </i>
    <i>
      <x v="174"/>
      <x v="2"/>
      <x v="6"/>
      <x v="121"/>
      <x v="1"/>
      <x v="1"/>
    </i>
    <i>
      <x v="254"/>
      <x v="2"/>
      <x v="4"/>
      <x v="114"/>
      <x v="1"/>
      <x v="1"/>
    </i>
    <i>
      <x v="301"/>
      <x v="2"/>
      <x v="4"/>
      <x v="364"/>
      <x v="1"/>
      <x v="1"/>
    </i>
    <i>
      <x v="312"/>
      <x v="2"/>
      <x v="4"/>
      <x v="259"/>
      <x v="1"/>
      <x v="1"/>
    </i>
    <i>
      <x v="335"/>
      <x/>
      <x v="6"/>
      <x v="191"/>
      <x v="1"/>
      <x v="1"/>
    </i>
    <i>
      <x v="408"/>
      <x v="2"/>
      <x v="4"/>
      <x v="218"/>
      <x v="1"/>
      <x v="1"/>
    </i>
    <i>
      <x v="411"/>
      <x/>
      <x v="4"/>
      <x v="358"/>
      <x v="1"/>
      <x v="1"/>
    </i>
    <i>
      <x v="509"/>
      <x v="2"/>
      <x v="4"/>
      <x v="204"/>
      <x v="1"/>
      <x v="1"/>
    </i>
    <i>
      <x v="546"/>
      <x v="2"/>
      <x v="4"/>
      <x v="75"/>
      <x v="1"/>
      <x v="1"/>
    </i>
    <i t="grand">
      <x/>
    </i>
  </rowItems>
  <colItems count="1">
    <i/>
  </colItems>
  <pageFields count="1">
    <pageField fld="19" item="1" hier="-1"/>
  </pageFields>
  <dataFields count="1">
    <dataField name="Soma de Risk_Score" fld="18" baseField="0" baseItem="0"/>
  </dataFields>
  <formats count="1047">
    <format dxfId="29">
      <pivotArea dataOnly="0" labelOnly="1" outline="0" fieldPosition="0">
        <references count="6">
          <reference field="0" count="1" selected="0">
            <x v="11"/>
          </reference>
          <reference field="5" count="1" selected="0">
            <x v="3"/>
          </reference>
          <reference field="7" count="1" selected="0">
            <x v="18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135"/>
          </reference>
          <reference field="5" count="1" selected="0">
            <x v="4"/>
          </reference>
          <reference field="7" count="1" selected="0">
            <x v="37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141"/>
          </reference>
          <reference field="5" count="1" selected="0">
            <x v="3"/>
          </reference>
          <reference field="7" count="1" selected="0">
            <x v="9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174"/>
          </reference>
          <reference field="5" count="1" selected="0">
            <x v="6"/>
          </reference>
          <reference field="7" count="1" selected="0">
            <x v="12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254"/>
          </reference>
          <reference field="5" count="1" selected="0">
            <x v="4"/>
          </reference>
          <reference field="7" count="1" selected="0">
            <x v="11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301"/>
          </reference>
          <reference field="5" count="1" selected="0">
            <x v="4"/>
          </reference>
          <reference field="7" count="1" selected="0">
            <x v="36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312"/>
          </reference>
          <reference field="5" count="1" selected="0">
            <x v="4"/>
          </reference>
          <reference field="7" count="1" selected="0">
            <x v="259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335"/>
          </reference>
          <reference field="5" count="1" selected="0">
            <x v="6"/>
          </reference>
          <reference field="7" count="1" selected="0">
            <x v="191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408"/>
          </reference>
          <reference field="5" count="1" selected="0">
            <x v="4"/>
          </reference>
          <reference field="7" count="1" selected="0">
            <x v="218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411"/>
          </reference>
          <reference field="5" count="1" selected="0">
            <x v="4"/>
          </reference>
          <reference field="7" count="1" selected="0">
            <x v="358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509"/>
          </reference>
          <reference field="5" count="1" selected="0">
            <x v="4"/>
          </reference>
          <reference field="7" count="1" selected="0">
            <x v="20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546"/>
          </reference>
          <reference field="5" count="1" selected="0">
            <x v="4"/>
          </reference>
          <reference field="7" count="1" selected="0">
            <x v="7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41">
      <pivotArea outline="0" fieldPosition="0">
        <references count="6">
          <reference field="0" count="12" selected="0">
            <x v="11"/>
            <x v="135"/>
            <x v="141"/>
            <x v="174"/>
            <x v="254"/>
            <x v="301"/>
            <x v="312"/>
            <x v="335"/>
            <x v="408"/>
            <x v="411"/>
            <x v="509"/>
            <x v="546"/>
          </reference>
          <reference field="5" count="3" selected="0">
            <x v="3"/>
            <x v="4"/>
            <x v="6"/>
          </reference>
          <reference field="7" count="12" selected="0">
            <x v="75"/>
            <x v="95"/>
            <x v="114"/>
            <x v="121"/>
            <x v="181"/>
            <x v="191"/>
            <x v="204"/>
            <x v="218"/>
            <x v="259"/>
            <x v="358"/>
            <x v="364"/>
            <x v="371"/>
          </reference>
          <reference field="8" count="1" selected="0">
            <x v="1"/>
          </reference>
          <reference field="10" count="2" selected="0">
            <x v="0"/>
            <x v="2"/>
          </reference>
          <reference field="17" count="0" selected="0"/>
        </references>
      </pivotArea>
    </format>
    <format dxfId="42">
      <pivotArea outline="0" fieldPosition="0">
        <references count="6">
          <reference field="0" count="12" selected="0">
            <x v="11"/>
            <x v="135"/>
            <x v="141"/>
            <x v="174"/>
            <x v="254"/>
            <x v="301"/>
            <x v="312"/>
            <x v="335"/>
            <x v="408"/>
            <x v="411"/>
            <x v="509"/>
            <x v="546"/>
          </reference>
          <reference field="5" count="3" selected="0">
            <x v="3"/>
            <x v="4"/>
            <x v="6"/>
          </reference>
          <reference field="7" count="12" selected="0">
            <x v="75"/>
            <x v="95"/>
            <x v="114"/>
            <x v="121"/>
            <x v="181"/>
            <x v="191"/>
            <x v="204"/>
            <x v="218"/>
            <x v="259"/>
            <x v="358"/>
            <x v="364"/>
            <x v="371"/>
          </reference>
          <reference field="8" count="1" selected="0">
            <x v="1"/>
          </reference>
          <reference field="10" count="2" selected="0">
            <x v="0"/>
            <x v="2"/>
          </reference>
          <reference field="17" count="0" selected="0"/>
        </references>
      </pivotArea>
    </format>
    <format dxfId="43">
      <pivotArea outline="0" fieldPosition="0">
        <references count="6">
          <reference field="0" count="12" selected="0">
            <x v="11"/>
            <x v="135"/>
            <x v="141"/>
            <x v="174"/>
            <x v="254"/>
            <x v="301"/>
            <x v="312"/>
            <x v="335"/>
            <x v="408"/>
            <x v="411"/>
            <x v="509"/>
            <x v="546"/>
          </reference>
          <reference field="5" count="3" selected="0">
            <x v="3"/>
            <x v="4"/>
            <x v="6"/>
          </reference>
          <reference field="7" count="12" selected="0">
            <x v="75"/>
            <x v="95"/>
            <x v="114"/>
            <x v="121"/>
            <x v="181"/>
            <x v="191"/>
            <x v="204"/>
            <x v="218"/>
            <x v="259"/>
            <x v="358"/>
            <x v="364"/>
            <x v="371"/>
          </reference>
          <reference field="8" count="1" selected="0">
            <x v="1"/>
          </reference>
          <reference field="10" count="2" selected="0">
            <x v="0"/>
            <x v="2"/>
          </reference>
          <reference field="17" count="0" selected="0"/>
        </references>
      </pivotArea>
    </format>
    <format dxfId="44">
      <pivotArea dataOnly="0" labelOnly="1" outline="0" fieldPosition="0">
        <references count="1">
          <reference field="0" count="12">
            <x v="11"/>
            <x v="135"/>
            <x v="141"/>
            <x v="174"/>
            <x v="254"/>
            <x v="301"/>
            <x v="312"/>
            <x v="335"/>
            <x v="408"/>
            <x v="411"/>
            <x v="509"/>
            <x v="546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11"/>
          </reference>
          <reference field="10" count="1">
            <x v="2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335"/>
          </reference>
          <reference field="10" count="1">
            <x v="0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408"/>
          </reference>
          <reference field="10" count="1">
            <x v="2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411"/>
          </reference>
          <reference field="10" count="1">
            <x v="0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509"/>
          </reference>
          <reference field="10" count="1">
            <x v="2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11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35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141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174"/>
          </reference>
          <reference field="5" count="1">
            <x v="6"/>
          </reference>
          <reference field="10" count="1" selected="0">
            <x v="2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254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335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408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57">
      <pivotArea dataOnly="0" labelOnly="1" outline="0" fieldPosition="0">
        <references count="4">
          <reference field="0" count="1" selected="0">
            <x v="11"/>
          </reference>
          <reference field="5" count="1" selected="0">
            <x v="3"/>
          </reference>
          <reference field="7" count="1">
            <x v="181"/>
          </reference>
          <reference field="10" count="1" selected="0">
            <x v="2"/>
          </reference>
        </references>
      </pivotArea>
    </format>
    <format dxfId="58">
      <pivotArea dataOnly="0" labelOnly="1" outline="0" fieldPosition="0">
        <references count="4">
          <reference field="0" count="1" selected="0">
            <x v="135"/>
          </reference>
          <reference field="5" count="1" selected="0">
            <x v="4"/>
          </reference>
          <reference field="7" count="1">
            <x v="371"/>
          </reference>
          <reference field="10" count="1" selected="0">
            <x v="2"/>
          </reference>
        </references>
      </pivotArea>
    </format>
    <format dxfId="59">
      <pivotArea dataOnly="0" labelOnly="1" outline="0" fieldPosition="0">
        <references count="4">
          <reference field="0" count="1" selected="0">
            <x v="141"/>
          </reference>
          <reference field="5" count="1" selected="0">
            <x v="3"/>
          </reference>
          <reference field="7" count="1">
            <x v="95"/>
          </reference>
          <reference field="10" count="1" selected="0">
            <x v="2"/>
          </reference>
        </references>
      </pivotArea>
    </format>
    <format dxfId="60">
      <pivotArea dataOnly="0" labelOnly="1" outline="0" fieldPosition="0">
        <references count="4">
          <reference field="0" count="1" selected="0">
            <x v="174"/>
          </reference>
          <reference field="5" count="1" selected="0">
            <x v="6"/>
          </reference>
          <reference field="7" count="1">
            <x v="121"/>
          </reference>
          <reference field="10" count="1" selected="0">
            <x v="2"/>
          </reference>
        </references>
      </pivotArea>
    </format>
    <format dxfId="61">
      <pivotArea dataOnly="0" labelOnly="1" outline="0" fieldPosition="0">
        <references count="4">
          <reference field="0" count="1" selected="0">
            <x v="254"/>
          </reference>
          <reference field="5" count="1" selected="0">
            <x v="4"/>
          </reference>
          <reference field="7" count="1">
            <x v="114"/>
          </reference>
          <reference field="10" count="1" selected="0">
            <x v="2"/>
          </reference>
        </references>
      </pivotArea>
    </format>
    <format dxfId="62">
      <pivotArea dataOnly="0" labelOnly="1" outline="0" fieldPosition="0">
        <references count="4">
          <reference field="0" count="1" selected="0">
            <x v="301"/>
          </reference>
          <reference field="5" count="1" selected="0">
            <x v="4"/>
          </reference>
          <reference field="7" count="1">
            <x v="364"/>
          </reference>
          <reference field="10" count="1" selected="0">
            <x v="2"/>
          </reference>
        </references>
      </pivotArea>
    </format>
    <format dxfId="63">
      <pivotArea dataOnly="0" labelOnly="1" outline="0" fieldPosition="0">
        <references count="4">
          <reference field="0" count="1" selected="0">
            <x v="312"/>
          </reference>
          <reference field="5" count="1" selected="0">
            <x v="4"/>
          </reference>
          <reference field="7" count="1">
            <x v="259"/>
          </reference>
          <reference field="10" count="1" selected="0">
            <x v="2"/>
          </reference>
        </references>
      </pivotArea>
    </format>
    <format dxfId="64">
      <pivotArea dataOnly="0" labelOnly="1" outline="0" fieldPosition="0">
        <references count="4">
          <reference field="0" count="1" selected="0">
            <x v="335"/>
          </reference>
          <reference field="5" count="1" selected="0">
            <x v="6"/>
          </reference>
          <reference field="7" count="1">
            <x v="191"/>
          </reference>
          <reference field="10" count="1" selected="0">
            <x v="0"/>
          </reference>
        </references>
      </pivotArea>
    </format>
    <format dxfId="65">
      <pivotArea dataOnly="0" labelOnly="1" outline="0" fieldPosition="0">
        <references count="4">
          <reference field="0" count="1" selected="0">
            <x v="408"/>
          </reference>
          <reference field="5" count="1" selected="0">
            <x v="4"/>
          </reference>
          <reference field="7" count="1">
            <x v="218"/>
          </reference>
          <reference field="10" count="1" selected="0">
            <x v="2"/>
          </reference>
        </references>
      </pivotArea>
    </format>
    <format dxfId="66">
      <pivotArea dataOnly="0" labelOnly="1" outline="0" fieldPosition="0">
        <references count="4">
          <reference field="0" count="1" selected="0">
            <x v="411"/>
          </reference>
          <reference field="5" count="1" selected="0">
            <x v="4"/>
          </reference>
          <reference field="7" count="1">
            <x v="358"/>
          </reference>
          <reference field="10" count="1" selected="0">
            <x v="0"/>
          </reference>
        </references>
      </pivotArea>
    </format>
    <format dxfId="67">
      <pivotArea dataOnly="0" labelOnly="1" outline="0" fieldPosition="0">
        <references count="4">
          <reference field="0" count="1" selected="0">
            <x v="509"/>
          </reference>
          <reference field="5" count="1" selected="0">
            <x v="4"/>
          </reference>
          <reference field="7" count="1">
            <x v="204"/>
          </reference>
          <reference field="10" count="1" selected="0">
            <x v="2"/>
          </reference>
        </references>
      </pivotArea>
    </format>
    <format dxfId="68">
      <pivotArea dataOnly="0" labelOnly="1" outline="0" fieldPosition="0">
        <references count="4">
          <reference field="0" count="1" selected="0">
            <x v="546"/>
          </reference>
          <reference field="5" count="1" selected="0">
            <x v="4"/>
          </reference>
          <reference field="7" count="1">
            <x v="75"/>
          </reference>
          <reference field="10" count="1" selected="0">
            <x v="2"/>
          </reference>
        </references>
      </pivotArea>
    </format>
    <format dxfId="69">
      <pivotArea dataOnly="0" labelOnly="1" outline="0" fieldPosition="0">
        <references count="5">
          <reference field="0" count="1" selected="0">
            <x v="11"/>
          </reference>
          <reference field="5" count="1" selected="0">
            <x v="3"/>
          </reference>
          <reference field="7" count="1" selected="0">
            <x v="181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11"/>
          </reference>
          <reference field="5" count="1" selected="0">
            <x v="3"/>
          </reference>
          <reference field="7" count="1" selected="0">
            <x v="18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135"/>
          </reference>
          <reference field="5" count="1" selected="0">
            <x v="4"/>
          </reference>
          <reference field="7" count="1" selected="0">
            <x v="37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141"/>
          </reference>
          <reference field="5" count="1" selected="0">
            <x v="3"/>
          </reference>
          <reference field="7" count="1" selected="0">
            <x v="9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174"/>
          </reference>
          <reference field="5" count="1" selected="0">
            <x v="6"/>
          </reference>
          <reference field="7" count="1" selected="0">
            <x v="12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254"/>
          </reference>
          <reference field="5" count="1" selected="0">
            <x v="4"/>
          </reference>
          <reference field="7" count="1" selected="0">
            <x v="11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301"/>
          </reference>
          <reference field="5" count="1" selected="0">
            <x v="4"/>
          </reference>
          <reference field="7" count="1" selected="0">
            <x v="36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312"/>
          </reference>
          <reference field="5" count="1" selected="0">
            <x v="4"/>
          </reference>
          <reference field="7" count="1" selected="0">
            <x v="259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335"/>
          </reference>
          <reference field="5" count="1" selected="0">
            <x v="6"/>
          </reference>
          <reference field="7" count="1" selected="0">
            <x v="191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408"/>
          </reference>
          <reference field="5" count="1" selected="0">
            <x v="4"/>
          </reference>
          <reference field="7" count="1" selected="0">
            <x v="218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411"/>
          </reference>
          <reference field="5" count="1" selected="0">
            <x v="4"/>
          </reference>
          <reference field="7" count="1" selected="0">
            <x v="358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509"/>
          </reference>
          <reference field="5" count="1" selected="0">
            <x v="4"/>
          </reference>
          <reference field="7" count="1" selected="0">
            <x v="20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546"/>
          </reference>
          <reference field="5" count="1" selected="0">
            <x v="4"/>
          </reference>
          <reference field="7" count="1" selected="0">
            <x v="7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82">
      <pivotArea outline="0" fieldPosition="0">
        <references count="6">
          <reference field="0" count="65" selected="0">
            <x v="0"/>
            <x v="3"/>
            <x v="8"/>
            <x v="69"/>
            <x v="81"/>
            <x v="82"/>
            <x v="84"/>
            <x v="88"/>
            <x v="91"/>
            <x v="130"/>
            <x v="151"/>
            <x v="154"/>
            <x v="157"/>
            <x v="172"/>
            <x v="175"/>
            <x v="183"/>
            <x v="196"/>
            <x v="207"/>
            <x v="208"/>
            <x v="216"/>
            <x v="223"/>
            <x v="225"/>
            <x v="227"/>
            <x v="238"/>
            <x v="243"/>
            <x v="248"/>
            <x v="252"/>
            <x v="274"/>
            <x v="278"/>
            <x v="293"/>
            <x v="305"/>
            <x v="311"/>
            <x v="314"/>
            <x v="320"/>
            <x v="322"/>
            <x v="334"/>
            <x v="337"/>
            <x v="345"/>
            <x v="347"/>
            <x v="351"/>
            <x v="360"/>
            <x v="363"/>
            <x v="392"/>
            <x v="393"/>
            <x v="401"/>
            <x v="414"/>
            <x v="435"/>
            <x v="464"/>
            <x v="470"/>
            <x v="474"/>
            <x v="477"/>
            <x v="486"/>
            <x v="491"/>
            <x v="516"/>
            <x v="518"/>
            <x v="525"/>
            <x v="538"/>
            <x v="548"/>
            <x v="556"/>
            <x v="559"/>
            <x v="572"/>
            <x v="581"/>
            <x v="583"/>
            <x v="592"/>
            <x v="595"/>
          </reference>
          <reference field="5" count="5" selected="0">
            <x v="1"/>
            <x v="3"/>
            <x v="4"/>
            <x v="5"/>
            <x v="6"/>
          </reference>
          <reference field="7" count="60" selected="0">
            <x v="5"/>
            <x v="24"/>
            <x v="27"/>
            <x v="38"/>
            <x v="55"/>
            <x v="61"/>
            <x v="68"/>
            <x v="71"/>
            <x v="77"/>
            <x v="79"/>
            <x v="97"/>
            <x v="109"/>
            <x v="118"/>
            <x v="122"/>
            <x v="124"/>
            <x v="133"/>
            <x v="144"/>
            <x v="145"/>
            <x v="146"/>
            <x v="148"/>
            <x v="150"/>
            <x v="151"/>
            <x v="154"/>
            <x v="158"/>
            <x v="170"/>
            <x v="171"/>
            <x v="174"/>
            <x v="175"/>
            <x v="182"/>
            <x v="192"/>
            <x v="193"/>
            <x v="194"/>
            <x v="199"/>
            <x v="200"/>
            <x v="201"/>
            <x v="209"/>
            <x v="219"/>
            <x v="222"/>
            <x v="224"/>
            <x v="230"/>
            <x v="248"/>
            <x v="250"/>
            <x v="253"/>
            <x v="263"/>
            <x v="275"/>
            <x v="277"/>
            <x v="279"/>
            <x v="283"/>
            <x v="284"/>
            <x v="285"/>
            <x v="296"/>
            <x v="304"/>
            <x v="314"/>
            <x v="319"/>
            <x v="324"/>
            <x v="327"/>
            <x v="328"/>
            <x v="346"/>
            <x v="350"/>
            <x v="363"/>
          </reference>
          <reference field="8" count="0" selected="0"/>
          <reference field="10" count="0" selected="0"/>
          <reference field="17" count="0" selected="0"/>
        </references>
      </pivotArea>
    </format>
    <format dxfId="83">
      <pivotArea dataOnly="0" labelOnly="1" outline="0" fieldPosition="0">
        <references count="1">
          <reference field="0" count="50">
            <x v="0"/>
            <x v="3"/>
            <x v="8"/>
            <x v="69"/>
            <x v="81"/>
            <x v="82"/>
            <x v="84"/>
            <x v="88"/>
            <x v="91"/>
            <x v="130"/>
            <x v="151"/>
            <x v="154"/>
            <x v="157"/>
            <x v="172"/>
            <x v="175"/>
            <x v="183"/>
            <x v="196"/>
            <x v="207"/>
            <x v="208"/>
            <x v="216"/>
            <x v="223"/>
            <x v="225"/>
            <x v="227"/>
            <x v="238"/>
            <x v="243"/>
            <x v="248"/>
            <x v="252"/>
            <x v="274"/>
            <x v="278"/>
            <x v="293"/>
            <x v="305"/>
            <x v="311"/>
            <x v="314"/>
            <x v="320"/>
            <x v="322"/>
            <x v="334"/>
            <x v="337"/>
            <x v="345"/>
            <x v="347"/>
            <x v="351"/>
            <x v="360"/>
            <x v="363"/>
            <x v="392"/>
            <x v="393"/>
            <x v="401"/>
            <x v="414"/>
            <x v="435"/>
            <x v="464"/>
            <x v="470"/>
            <x v="474"/>
          </reference>
        </references>
      </pivotArea>
    </format>
    <format dxfId="84">
      <pivotArea dataOnly="0" labelOnly="1" outline="0" fieldPosition="0">
        <references count="1">
          <reference field="0" count="15">
            <x v="477"/>
            <x v="486"/>
            <x v="491"/>
            <x v="516"/>
            <x v="518"/>
            <x v="525"/>
            <x v="538"/>
            <x v="548"/>
            <x v="556"/>
            <x v="559"/>
            <x v="572"/>
            <x v="581"/>
            <x v="583"/>
            <x v="592"/>
            <x v="595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0"/>
          </reference>
          <reference field="10" count="1">
            <x v="2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3"/>
          </reference>
          <reference field="10" count="1">
            <x v="0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8"/>
          </reference>
          <reference field="10" count="1">
            <x v="2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88"/>
          </reference>
          <reference field="10" count="1">
            <x v="0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91"/>
          </reference>
          <reference field="10" count="1">
            <x v="2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30"/>
          </reference>
          <reference field="10" count="1">
            <x v="0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51"/>
          </reference>
          <reference field="10" count="1">
            <x v="2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72"/>
          </reference>
          <reference field="10" count="1">
            <x v="0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75"/>
          </reference>
          <reference field="10" count="1">
            <x v="2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83"/>
          </reference>
          <reference field="10" count="1">
            <x v="1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196"/>
          </reference>
          <reference field="10" count="1">
            <x v="2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208"/>
          </reference>
          <reference field="10" count="1">
            <x v="0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216"/>
          </reference>
          <reference field="10" count="1">
            <x v="2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252"/>
          </reference>
          <reference field="10" count="1">
            <x v="0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274"/>
          </reference>
          <reference field="10" count="1">
            <x v="1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278"/>
          </reference>
          <reference field="10" count="1">
            <x v="0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305"/>
          </reference>
          <reference field="10" count="1">
            <x v="2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311"/>
          </reference>
          <reference field="10" count="1">
            <x v="0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314"/>
          </reference>
          <reference field="10" count="1">
            <x v="2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320"/>
          </reference>
          <reference field="10" count="1">
            <x v="0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322"/>
          </reference>
          <reference field="10" count="1">
            <x v="2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334"/>
          </reference>
          <reference field="10" count="1">
            <x v="0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337"/>
          </reference>
          <reference field="10" count="1">
            <x v="1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345"/>
          </reference>
          <reference field="10" count="1">
            <x v="2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360"/>
          </reference>
          <reference field="10" count="1">
            <x v="0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363"/>
          </reference>
          <reference field="10" count="1">
            <x v="2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401"/>
          </reference>
          <reference field="10" count="1">
            <x v="0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435"/>
          </reference>
          <reference field="10" count="1">
            <x v="2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470"/>
          </reference>
          <reference field="10" count="1">
            <x v="0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477"/>
          </reference>
          <reference field="10" count="1">
            <x v="2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516"/>
          </reference>
          <reference field="10" count="1">
            <x v="0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518"/>
          </reference>
          <reference field="10" count="1">
            <x v="2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548"/>
          </reference>
          <reference field="10" count="1">
            <x v="0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556"/>
          </reference>
          <reference field="10" count="1">
            <x v="2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559"/>
          </reference>
          <reference field="10" count="1">
            <x v="0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572"/>
          </reference>
          <reference field="10" count="1">
            <x v="2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581"/>
          </reference>
          <reference field="10" count="1">
            <x v="0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583"/>
          </reference>
          <reference field="10" count="1">
            <x v="2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592"/>
          </reference>
          <reference field="10" count="1">
            <x v="0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595"/>
          </reference>
          <reference field="10" count="1">
            <x v="2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0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69"/>
          </reference>
          <reference field="5" count="1">
            <x v="6"/>
          </reference>
          <reference field="10" count="1" selected="0">
            <x v="2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81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91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130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151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154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157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172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75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183"/>
          </reference>
          <reference field="5" count="1">
            <x v="6"/>
          </reference>
          <reference field="10" count="1" selected="0">
            <x v="1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9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208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223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311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314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320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334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337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360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363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393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401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435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470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477"/>
          </reference>
          <reference field="5" count="1">
            <x v="6"/>
          </reference>
          <reference field="10" count="1" selected="0">
            <x v="2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48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538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559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572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581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583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157">
      <pivotArea dataOnly="0" labelOnly="1" outline="0" fieldPosition="0">
        <references count="4">
          <reference field="0" count="1" selected="0">
            <x v="0"/>
          </reference>
          <reference field="5" count="1" selected="0">
            <x v="4"/>
          </reference>
          <reference field="7" count="1">
            <x v="154"/>
          </reference>
          <reference field="10" count="1" selected="0">
            <x v="2"/>
          </reference>
        </references>
      </pivotArea>
    </format>
    <format dxfId="158">
      <pivotArea dataOnly="0" labelOnly="1" outline="0" fieldPosition="0">
        <references count="4">
          <reference field="0" count="1" selected="0">
            <x v="3"/>
          </reference>
          <reference field="5" count="1" selected="0">
            <x v="4"/>
          </reference>
          <reference field="7" count="1">
            <x v="148"/>
          </reference>
          <reference field="10" count="1" selected="0">
            <x v="0"/>
          </reference>
        </references>
      </pivotArea>
    </format>
    <format dxfId="159">
      <pivotArea dataOnly="0" labelOnly="1" outline="0" fieldPosition="0">
        <references count="4">
          <reference field="0" count="1" selected="0">
            <x v="8"/>
          </reference>
          <reference field="5" count="1" selected="0">
            <x v="4"/>
          </reference>
          <reference field="7" count="1">
            <x v="27"/>
          </reference>
          <reference field="10" count="1" selected="0">
            <x v="2"/>
          </reference>
        </references>
      </pivotArea>
    </format>
    <format dxfId="160">
      <pivotArea dataOnly="0" labelOnly="1" outline="0" fieldPosition="0">
        <references count="4">
          <reference field="0" count="1" selected="0">
            <x v="69"/>
          </reference>
          <reference field="5" count="1" selected="0">
            <x v="6"/>
          </reference>
          <reference field="7" count="1">
            <x v="284"/>
          </reference>
          <reference field="10" count="1" selected="0">
            <x v="2"/>
          </reference>
        </references>
      </pivotArea>
    </format>
    <format dxfId="161">
      <pivotArea dataOnly="0" labelOnly="1" outline="0" fieldPosition="0">
        <references count="4">
          <reference field="0" count="1" selected="0">
            <x v="81"/>
          </reference>
          <reference field="5" count="1" selected="0">
            <x v="4"/>
          </reference>
          <reference field="7" count="1">
            <x v="304"/>
          </reference>
          <reference field="10" count="1" selected="0">
            <x v="2"/>
          </reference>
        </references>
      </pivotArea>
    </format>
    <format dxfId="162">
      <pivotArea dataOnly="0" labelOnly="1" outline="0" fieldPosition="0">
        <references count="4">
          <reference field="0" count="1" selected="0">
            <x v="82"/>
          </reference>
          <reference field="5" count="1" selected="0">
            <x v="4"/>
          </reference>
          <reference field="7" count="1">
            <x v="324"/>
          </reference>
          <reference field="10" count="1" selected="0">
            <x v="2"/>
          </reference>
        </references>
      </pivotArea>
    </format>
    <format dxfId="163">
      <pivotArea dataOnly="0" labelOnly="1" outline="0" fieldPosition="0">
        <references count="4">
          <reference field="0" count="1" selected="0">
            <x v="84"/>
          </reference>
          <reference field="5" count="1" selected="0">
            <x v="4"/>
          </reference>
          <reference field="7" count="1">
            <x v="151"/>
          </reference>
          <reference field="10" count="1" selected="0">
            <x v="2"/>
          </reference>
        </references>
      </pivotArea>
    </format>
    <format dxfId="164">
      <pivotArea dataOnly="0" labelOnly="1" outline="0" fieldPosition="0">
        <references count="4">
          <reference field="0" count="1" selected="0">
            <x v="88"/>
          </reference>
          <reference field="5" count="1" selected="0">
            <x v="4"/>
          </reference>
          <reference field="7" count="1">
            <x v="224"/>
          </reference>
          <reference field="10" count="1" selected="0">
            <x v="0"/>
          </reference>
        </references>
      </pivotArea>
    </format>
    <format dxfId="165">
      <pivotArea dataOnly="0" labelOnly="1" outline="0" fieldPosition="0">
        <references count="4">
          <reference field="0" count="1" selected="0">
            <x v="91"/>
          </reference>
          <reference field="5" count="1" selected="0">
            <x v="1"/>
          </reference>
          <reference field="7" count="1">
            <x v="314"/>
          </reference>
          <reference field="10" count="1" selected="0">
            <x v="2"/>
          </reference>
        </references>
      </pivotArea>
    </format>
    <format dxfId="166">
      <pivotArea dataOnly="0" labelOnly="1" outline="0" fieldPosition="0">
        <references count="4">
          <reference field="0" count="1" selected="0">
            <x v="130"/>
          </reference>
          <reference field="5" count="1" selected="0">
            <x v="6"/>
          </reference>
          <reference field="7" count="1">
            <x v="248"/>
          </reference>
          <reference field="10" count="1" selected="0">
            <x v="0"/>
          </reference>
        </references>
      </pivotArea>
    </format>
    <format dxfId="167">
      <pivotArea dataOnly="0" labelOnly="1" outline="0" fieldPosition="0">
        <references count="4">
          <reference field="0" count="1" selected="0">
            <x v="151"/>
          </reference>
          <reference field="5" count="1" selected="0">
            <x v="4"/>
          </reference>
          <reference field="7" count="1">
            <x v="133"/>
          </reference>
          <reference field="10" count="1" selected="0">
            <x v="2"/>
          </reference>
        </references>
      </pivotArea>
    </format>
    <format dxfId="168">
      <pivotArea dataOnly="0" labelOnly="1" outline="0" fieldPosition="0">
        <references count="4">
          <reference field="0" count="1" selected="0">
            <x v="154"/>
          </reference>
          <reference field="5" count="1" selected="0">
            <x v="3"/>
          </reference>
          <reference field="7" count="1">
            <x v="124"/>
          </reference>
          <reference field="10" count="1" selected="0">
            <x v="2"/>
          </reference>
        </references>
      </pivotArea>
    </format>
    <format dxfId="169">
      <pivotArea dataOnly="0" labelOnly="1" outline="0" fieldPosition="0">
        <references count="4">
          <reference field="0" count="1" selected="0">
            <x v="157"/>
          </reference>
          <reference field="5" count="1" selected="0">
            <x v="5"/>
          </reference>
          <reference field="7" count="1">
            <x v="350"/>
          </reference>
          <reference field="10" count="1" selected="0">
            <x v="2"/>
          </reference>
        </references>
      </pivotArea>
    </format>
    <format dxfId="170">
      <pivotArea dataOnly="0" labelOnly="1" outline="0" fieldPosition="0">
        <references count="4">
          <reference field="0" count="1" selected="0">
            <x v="172"/>
          </reference>
          <reference field="5" count="1" selected="0">
            <x v="6"/>
          </reference>
          <reference field="7" count="1">
            <x v="79"/>
          </reference>
          <reference field="10" count="1" selected="0">
            <x v="0"/>
          </reference>
        </references>
      </pivotArea>
    </format>
    <format dxfId="171">
      <pivotArea dataOnly="0" labelOnly="1" outline="0" fieldPosition="0">
        <references count="4">
          <reference field="0" count="1" selected="0">
            <x v="175"/>
          </reference>
          <reference field="5" count="1" selected="0">
            <x v="4"/>
          </reference>
          <reference field="7" count="1">
            <x v="174"/>
          </reference>
          <reference field="10" count="1" selected="0">
            <x v="2"/>
          </reference>
        </references>
      </pivotArea>
    </format>
    <format dxfId="172">
      <pivotArea dataOnly="0" labelOnly="1" outline="0" fieldPosition="0">
        <references count="4">
          <reference field="0" count="1" selected="0">
            <x v="183"/>
          </reference>
          <reference field="5" count="1" selected="0">
            <x v="6"/>
          </reference>
          <reference field="7" count="1">
            <x v="170"/>
          </reference>
          <reference field="10" count="1" selected="0">
            <x v="1"/>
          </reference>
        </references>
      </pivotArea>
    </format>
    <format dxfId="173">
      <pivotArea dataOnly="0" labelOnly="1" outline="0" fieldPosition="0">
        <references count="4">
          <reference field="0" count="1" selected="0">
            <x v="196"/>
          </reference>
          <reference field="5" count="1" selected="0">
            <x v="4"/>
          </reference>
          <reference field="7" count="1">
            <x v="97"/>
          </reference>
          <reference field="10" count="1" selected="0">
            <x v="2"/>
          </reference>
        </references>
      </pivotArea>
    </format>
    <format dxfId="174">
      <pivotArea dataOnly="0" labelOnly="1" outline="0" fieldPosition="0">
        <references count="4">
          <reference field="0" count="1" selected="0">
            <x v="207"/>
          </reference>
          <reference field="5" count="1" selected="0">
            <x v="4"/>
          </reference>
          <reference field="7" count="1">
            <x v="55"/>
          </reference>
          <reference field="10" count="1" selected="0">
            <x v="2"/>
          </reference>
        </references>
      </pivotArea>
    </format>
    <format dxfId="175">
      <pivotArea dataOnly="0" labelOnly="1" outline="0" fieldPosition="0">
        <references count="4">
          <reference field="0" count="1" selected="0">
            <x v="208"/>
          </reference>
          <reference field="5" count="1" selected="0">
            <x v="6"/>
          </reference>
          <reference field="7" count="1">
            <x v="71"/>
          </reference>
          <reference field="10" count="1" selected="0">
            <x v="0"/>
          </reference>
        </references>
      </pivotArea>
    </format>
    <format dxfId="176">
      <pivotArea dataOnly="0" labelOnly="1" outline="0" fieldPosition="0">
        <references count="4">
          <reference field="0" count="1" selected="0">
            <x v="216"/>
          </reference>
          <reference field="5" count="1" selected="0">
            <x v="6"/>
          </reference>
          <reference field="7" count="1">
            <x v="327"/>
          </reference>
          <reference field="10" count="1" selected="0">
            <x v="2"/>
          </reference>
        </references>
      </pivotArea>
    </format>
    <format dxfId="177">
      <pivotArea dataOnly="0" labelOnly="1" outline="0" fieldPosition="0">
        <references count="4">
          <reference field="0" count="1" selected="0">
            <x v="223"/>
          </reference>
          <reference field="5" count="1" selected="0">
            <x v="4"/>
          </reference>
          <reference field="7" count="1">
            <x v="346"/>
          </reference>
          <reference field="10" count="1" selected="0">
            <x v="2"/>
          </reference>
        </references>
      </pivotArea>
    </format>
    <format dxfId="178">
      <pivotArea dataOnly="0" labelOnly="1" outline="0" fieldPosition="0">
        <references count="4">
          <reference field="0" count="1" selected="0">
            <x v="225"/>
          </reference>
          <reference field="5" count="1" selected="0">
            <x v="4"/>
          </reference>
          <reference field="7" count="1">
            <x v="209"/>
          </reference>
          <reference field="10" count="1" selected="0">
            <x v="2"/>
          </reference>
        </references>
      </pivotArea>
    </format>
    <format dxfId="179">
      <pivotArea dataOnly="0" labelOnly="1" outline="0" fieldPosition="0">
        <references count="4">
          <reference field="0" count="1" selected="0">
            <x v="227"/>
          </reference>
          <reference field="5" count="1" selected="0">
            <x v="4"/>
          </reference>
          <reference field="7" count="1">
            <x v="285"/>
          </reference>
          <reference field="10" count="1" selected="0">
            <x v="2"/>
          </reference>
        </references>
      </pivotArea>
    </format>
    <format dxfId="180">
      <pivotArea dataOnly="0" labelOnly="1" outline="0" fieldPosition="0">
        <references count="4">
          <reference field="0" count="1" selected="0">
            <x v="238"/>
          </reference>
          <reference field="5" count="1" selected="0">
            <x v="4"/>
          </reference>
          <reference field="7" count="1">
            <x v="200"/>
          </reference>
          <reference field="10" count="1" selected="0">
            <x v="2"/>
          </reference>
        </references>
      </pivotArea>
    </format>
    <format dxfId="181">
      <pivotArea dataOnly="0" labelOnly="1" outline="0" fieldPosition="0">
        <references count="4">
          <reference field="0" count="1" selected="0">
            <x v="243"/>
          </reference>
          <reference field="5" count="1" selected="0">
            <x v="4"/>
          </reference>
          <reference field="7" count="1">
            <x v="201"/>
          </reference>
          <reference field="10" count="1" selected="0">
            <x v="2"/>
          </reference>
        </references>
      </pivotArea>
    </format>
    <format dxfId="182">
      <pivotArea dataOnly="0" labelOnly="1" outline="0" fieldPosition="0">
        <references count="4">
          <reference field="0" count="1" selected="0">
            <x v="248"/>
          </reference>
          <reference field="5" count="1" selected="0">
            <x v="4"/>
          </reference>
          <reference field="7" count="1">
            <x v="193"/>
          </reference>
          <reference field="10" count="1" selected="0">
            <x v="2"/>
          </reference>
        </references>
      </pivotArea>
    </format>
    <format dxfId="183">
      <pivotArea dataOnly="0" labelOnly="1" outline="0" fieldPosition="0">
        <references count="4">
          <reference field="0" count="1" selected="0">
            <x v="252"/>
          </reference>
          <reference field="5" count="1" selected="0">
            <x v="4"/>
          </reference>
          <reference field="7" count="1">
            <x v="253"/>
          </reference>
          <reference field="10" count="1" selected="0">
            <x v="0"/>
          </reference>
        </references>
      </pivotArea>
    </format>
    <format dxfId="184">
      <pivotArea dataOnly="0" labelOnly="1" outline="0" fieldPosition="0">
        <references count="4">
          <reference field="0" count="1" selected="0">
            <x v="274"/>
          </reference>
          <reference field="5" count="1" selected="0">
            <x v="4"/>
          </reference>
          <reference field="7" count="1">
            <x v="171"/>
          </reference>
          <reference field="10" count="1" selected="0">
            <x v="1"/>
          </reference>
        </references>
      </pivotArea>
    </format>
    <format dxfId="185">
      <pivotArea dataOnly="0" labelOnly="1" outline="0" fieldPosition="0">
        <references count="4">
          <reference field="0" count="1" selected="0">
            <x v="278"/>
          </reference>
          <reference field="5" count="1" selected="0">
            <x v="4"/>
          </reference>
          <reference field="7" count="1">
            <x v="194"/>
          </reference>
          <reference field="10" count="1" selected="0">
            <x v="0"/>
          </reference>
        </references>
      </pivotArea>
    </format>
    <format dxfId="186">
      <pivotArea dataOnly="0" labelOnly="1" outline="0" fieldPosition="0">
        <references count="4">
          <reference field="0" count="1" selected="0">
            <x v="293"/>
          </reference>
          <reference field="5" count="1" selected="0">
            <x v="4"/>
          </reference>
          <reference field="7" count="1">
            <x v="296"/>
          </reference>
          <reference field="10" count="1" selected="0">
            <x v="0"/>
          </reference>
        </references>
      </pivotArea>
    </format>
    <format dxfId="187">
      <pivotArea dataOnly="0" labelOnly="1" outline="0" fieldPosition="0">
        <references count="4">
          <reference field="0" count="1" selected="0">
            <x v="305"/>
          </reference>
          <reference field="5" count="1" selected="0">
            <x v="4"/>
          </reference>
          <reference field="7" count="1">
            <x v="277"/>
          </reference>
          <reference field="10" count="1" selected="0">
            <x v="2"/>
          </reference>
        </references>
      </pivotArea>
    </format>
    <format dxfId="188">
      <pivotArea dataOnly="0" labelOnly="1" outline="0" fieldPosition="0">
        <references count="4">
          <reference field="0" count="1" selected="0">
            <x v="311"/>
          </reference>
          <reference field="5" count="1" selected="0">
            <x v="6"/>
          </reference>
          <reference field="7" count="1">
            <x v="201"/>
          </reference>
          <reference field="10" count="1" selected="0">
            <x v="0"/>
          </reference>
        </references>
      </pivotArea>
    </format>
    <format dxfId="189">
      <pivotArea dataOnly="0" labelOnly="1" outline="0" fieldPosition="0">
        <references count="4">
          <reference field="0" count="1" selected="0">
            <x v="314"/>
          </reference>
          <reference field="5" count="1" selected="0">
            <x v="3"/>
          </reference>
          <reference field="7" count="1">
            <x v="77"/>
          </reference>
          <reference field="10" count="1" selected="0">
            <x v="2"/>
          </reference>
        </references>
      </pivotArea>
    </format>
    <format dxfId="190">
      <pivotArea dataOnly="0" labelOnly="1" outline="0" fieldPosition="0">
        <references count="4">
          <reference field="0" count="1" selected="0">
            <x v="320"/>
          </reference>
          <reference field="5" count="1" selected="0">
            <x v="4"/>
          </reference>
          <reference field="7" count="1">
            <x v="109"/>
          </reference>
          <reference field="10" count="1" selected="0">
            <x v="0"/>
          </reference>
        </references>
      </pivotArea>
    </format>
    <format dxfId="191">
      <pivotArea dataOnly="0" labelOnly="1" outline="0" fieldPosition="0">
        <references count="4">
          <reference field="0" count="1" selected="0">
            <x v="322"/>
          </reference>
          <reference field="5" count="1" selected="0">
            <x v="4"/>
          </reference>
          <reference field="7" count="1">
            <x v="199"/>
          </reference>
          <reference field="10" count="1" selected="0">
            <x v="2"/>
          </reference>
        </references>
      </pivotArea>
    </format>
    <format dxfId="192">
      <pivotArea dataOnly="0" labelOnly="1" outline="0" fieldPosition="0">
        <references count="4">
          <reference field="0" count="1" selected="0">
            <x v="334"/>
          </reference>
          <reference field="5" count="1" selected="0">
            <x v="6"/>
          </reference>
          <reference field="7" count="1">
            <x v="250"/>
          </reference>
          <reference field="10" count="1" selected="0">
            <x v="0"/>
          </reference>
        </references>
      </pivotArea>
    </format>
    <format dxfId="193">
      <pivotArea dataOnly="0" labelOnly="1" outline="0" fieldPosition="0">
        <references count="4">
          <reference field="0" count="1" selected="0">
            <x v="337"/>
          </reference>
          <reference field="5" count="1" selected="0">
            <x v="4"/>
          </reference>
          <reference field="7" count="1">
            <x v="363"/>
          </reference>
          <reference field="10" count="1" selected="0">
            <x v="1"/>
          </reference>
        </references>
      </pivotArea>
    </format>
    <format dxfId="194">
      <pivotArea dataOnly="0" labelOnly="1" outline="0" fieldPosition="0">
        <references count="4">
          <reference field="0" count="1" selected="0">
            <x v="345"/>
          </reference>
          <reference field="5" count="1" selected="0">
            <x v="4"/>
          </reference>
          <reference field="7" count="1">
            <x v="145"/>
          </reference>
          <reference field="10" count="1" selected="0">
            <x v="2"/>
          </reference>
        </references>
      </pivotArea>
    </format>
    <format dxfId="195">
      <pivotArea dataOnly="0" labelOnly="1" outline="0" fieldPosition="0">
        <references count="4">
          <reference field="0" count="1" selected="0">
            <x v="347"/>
          </reference>
          <reference field="5" count="1" selected="0">
            <x v="4"/>
          </reference>
          <reference field="7" count="1">
            <x v="150"/>
          </reference>
          <reference field="10" count="1" selected="0">
            <x v="2"/>
          </reference>
        </references>
      </pivotArea>
    </format>
    <format dxfId="196">
      <pivotArea dataOnly="0" labelOnly="1" outline="0" fieldPosition="0">
        <references count="4">
          <reference field="0" count="1" selected="0">
            <x v="351"/>
          </reference>
          <reference field="5" count="1" selected="0">
            <x v="4"/>
          </reference>
          <reference field="7" count="1">
            <x v="77"/>
          </reference>
          <reference field="10" count="1" selected="0">
            <x v="2"/>
          </reference>
        </references>
      </pivotArea>
    </format>
    <format dxfId="197">
      <pivotArea dataOnly="0" labelOnly="1" outline="0" fieldPosition="0">
        <references count="4">
          <reference field="0" count="1" selected="0">
            <x v="360"/>
          </reference>
          <reference field="5" count="1" selected="0">
            <x v="3"/>
          </reference>
          <reference field="7" count="1">
            <x v="275"/>
          </reference>
          <reference field="10" count="1" selected="0">
            <x v="0"/>
          </reference>
        </references>
      </pivotArea>
    </format>
    <format dxfId="198">
      <pivotArea dataOnly="0" labelOnly="1" outline="0" fieldPosition="0">
        <references count="4">
          <reference field="0" count="1" selected="0">
            <x v="363"/>
          </reference>
          <reference field="5" count="1" selected="0">
            <x v="4"/>
          </reference>
          <reference field="7" count="1">
            <x v="279"/>
          </reference>
          <reference field="10" count="1" selected="0">
            <x v="2"/>
          </reference>
        </references>
      </pivotArea>
    </format>
    <format dxfId="199">
      <pivotArea dataOnly="0" labelOnly="1" outline="0" fieldPosition="0">
        <references count="4">
          <reference field="0" count="1" selected="0">
            <x v="392"/>
          </reference>
          <reference field="5" count="1" selected="0">
            <x v="4"/>
          </reference>
          <reference field="7" count="1">
            <x v="118"/>
          </reference>
          <reference field="10" count="1" selected="0">
            <x v="2"/>
          </reference>
        </references>
      </pivotArea>
    </format>
    <format dxfId="200">
      <pivotArea dataOnly="0" labelOnly="1" outline="0" fieldPosition="0">
        <references count="4">
          <reference field="0" count="1" selected="0">
            <x v="393"/>
          </reference>
          <reference field="5" count="1" selected="0">
            <x v="1"/>
          </reference>
          <reference field="7" count="1">
            <x v="283"/>
          </reference>
          <reference field="10" count="1" selected="0">
            <x v="2"/>
          </reference>
        </references>
      </pivotArea>
    </format>
    <format dxfId="201">
      <pivotArea dataOnly="0" labelOnly="1" outline="0" fieldPosition="0">
        <references count="4">
          <reference field="0" count="1" selected="0">
            <x v="401"/>
          </reference>
          <reference field="5" count="1" selected="0">
            <x v="4"/>
          </reference>
          <reference field="7" count="1">
            <x v="144"/>
          </reference>
          <reference field="10" count="1" selected="0">
            <x v="0"/>
          </reference>
        </references>
      </pivotArea>
    </format>
    <format dxfId="202">
      <pivotArea dataOnly="0" labelOnly="1" outline="0" fieldPosition="0">
        <references count="4">
          <reference field="0" count="1" selected="0">
            <x v="414"/>
          </reference>
          <reference field="5" count="1" selected="0">
            <x v="4"/>
          </reference>
          <reference field="7" count="1">
            <x v="219"/>
          </reference>
          <reference field="10" count="1" selected="0">
            <x v="0"/>
          </reference>
        </references>
      </pivotArea>
    </format>
    <format dxfId="203">
      <pivotArea dataOnly="0" labelOnly="1" outline="0" fieldPosition="0">
        <references count="4">
          <reference field="0" count="1" selected="0">
            <x v="435"/>
          </reference>
          <reference field="5" count="1" selected="0">
            <x v="3"/>
          </reference>
          <reference field="7" count="1">
            <x v="68"/>
          </reference>
          <reference field="10" count="1" selected="0">
            <x v="2"/>
          </reference>
        </references>
      </pivotArea>
    </format>
    <format dxfId="204">
      <pivotArea dataOnly="0" labelOnly="1" outline="0" fieldPosition="0">
        <references count="4">
          <reference field="0" count="1" selected="0">
            <x v="464"/>
          </reference>
          <reference field="5" count="1" selected="0">
            <x v="3"/>
          </reference>
          <reference field="7" count="1">
            <x v="283"/>
          </reference>
          <reference field="10" count="1" selected="0">
            <x v="2"/>
          </reference>
        </references>
      </pivotArea>
    </format>
    <format dxfId="205">
      <pivotArea dataOnly="0" labelOnly="1" outline="0" fieldPosition="0">
        <references count="4">
          <reference field="0" count="1" selected="0">
            <x v="470"/>
          </reference>
          <reference field="5" count="1" selected="0">
            <x v="4"/>
          </reference>
          <reference field="7" count="1">
            <x v="192"/>
          </reference>
          <reference field="10" count="1" selected="0">
            <x v="0"/>
          </reference>
        </references>
      </pivotArea>
    </format>
    <format dxfId="206">
      <pivotArea dataOnly="0" labelOnly="1" outline="0" fieldPosition="0">
        <references count="4">
          <reference field="0" count="1" selected="0">
            <x v="474"/>
          </reference>
          <reference field="5" count="1" selected="0">
            <x v="4"/>
          </reference>
          <reference field="7" count="1">
            <x v="146"/>
          </reference>
          <reference field="10" count="1" selected="0">
            <x v="0"/>
          </reference>
        </references>
      </pivotArea>
    </format>
    <format dxfId="207">
      <pivotArea dataOnly="0" labelOnly="1" outline="0" fieldPosition="0">
        <references count="4">
          <reference field="0" count="1" selected="0">
            <x v="477"/>
          </reference>
          <reference field="5" count="1" selected="0">
            <x v="6"/>
          </reference>
          <reference field="7" count="1">
            <x v="158"/>
          </reference>
          <reference field="10" count="1" selected="0">
            <x v="2"/>
          </reference>
        </references>
      </pivotArea>
    </format>
    <format dxfId="208">
      <pivotArea dataOnly="0" labelOnly="1" outline="0" fieldPosition="0">
        <references count="4">
          <reference field="0" count="1" selected="0">
            <x v="486"/>
          </reference>
          <reference field="5" count="1" selected="0">
            <x v="4"/>
          </reference>
          <reference field="7" count="1">
            <x v="61"/>
          </reference>
          <reference field="10" count="1" selected="0">
            <x v="2"/>
          </reference>
        </references>
      </pivotArea>
    </format>
    <format dxfId="209">
      <pivotArea dataOnly="0" labelOnly="1" outline="0" fieldPosition="0">
        <references count="4">
          <reference field="0" count="1" selected="0">
            <x v="491"/>
          </reference>
          <reference field="5" count="1" selected="0">
            <x v="4"/>
          </reference>
          <reference field="7" count="1">
            <x v="263"/>
          </reference>
          <reference field="10" count="1" selected="0">
            <x v="2"/>
          </reference>
        </references>
      </pivotArea>
    </format>
    <format dxfId="210">
      <pivotArea dataOnly="0" labelOnly="1" outline="0" fieldPosition="0">
        <references count="4">
          <reference field="0" count="1" selected="0">
            <x v="516"/>
          </reference>
          <reference field="5" count="1" selected="0">
            <x v="4"/>
          </reference>
          <reference field="7" count="1">
            <x v="319"/>
          </reference>
          <reference field="10" count="1" selected="0">
            <x v="0"/>
          </reference>
        </references>
      </pivotArea>
    </format>
    <format dxfId="211">
      <pivotArea dataOnly="0" labelOnly="1" outline="0" fieldPosition="0">
        <references count="4">
          <reference field="0" count="1" selected="0">
            <x v="518"/>
          </reference>
          <reference field="5" count="1" selected="0">
            <x v="4"/>
          </reference>
          <reference field="7" count="1">
            <x v="38"/>
          </reference>
          <reference field="10" count="1" selected="0">
            <x v="2"/>
          </reference>
        </references>
      </pivotArea>
    </format>
    <format dxfId="212">
      <pivotArea dataOnly="0" labelOnly="1" outline="0" fieldPosition="0">
        <references count="4">
          <reference field="0" count="1" selected="0">
            <x v="525"/>
          </reference>
          <reference field="5" count="1" selected="0">
            <x v="4"/>
          </reference>
          <reference field="7" count="1">
            <x v="24"/>
          </reference>
          <reference field="10" count="1" selected="0">
            <x v="2"/>
          </reference>
        </references>
      </pivotArea>
    </format>
    <format dxfId="213">
      <pivotArea dataOnly="0" labelOnly="1" outline="0" fieldPosition="0">
        <references count="4">
          <reference field="0" count="1" selected="0">
            <x v="538"/>
          </reference>
          <reference field="5" count="1" selected="0">
            <x v="1"/>
          </reference>
          <reference field="7" count="1">
            <x v="194"/>
          </reference>
          <reference field="10" count="1" selected="0">
            <x v="2"/>
          </reference>
        </references>
      </pivotArea>
    </format>
    <format dxfId="214">
      <pivotArea dataOnly="0" labelOnly="1" outline="0" fieldPosition="0">
        <references count="4">
          <reference field="0" count="1" selected="0">
            <x v="548"/>
          </reference>
          <reference field="5" count="1" selected="0">
            <x v="1"/>
          </reference>
          <reference field="7" count="1">
            <x v="328"/>
          </reference>
          <reference field="10" count="1" selected="0">
            <x v="0"/>
          </reference>
        </references>
      </pivotArea>
    </format>
    <format dxfId="215">
      <pivotArea dataOnly="0" labelOnly="1" outline="0" fieldPosition="0">
        <references count="4">
          <reference field="0" count="1" selected="0">
            <x v="556"/>
          </reference>
          <reference field="5" count="1" selected="0">
            <x v="1"/>
          </reference>
          <reference field="7" count="1">
            <x v="222"/>
          </reference>
          <reference field="10" count="1" selected="0">
            <x v="2"/>
          </reference>
        </references>
      </pivotArea>
    </format>
    <format dxfId="216">
      <pivotArea dataOnly="0" labelOnly="1" outline="0" fieldPosition="0">
        <references count="4">
          <reference field="0" count="1" selected="0">
            <x v="559"/>
          </reference>
          <reference field="5" count="1" selected="0">
            <x v="3"/>
          </reference>
          <reference field="7" count="1">
            <x v="230"/>
          </reference>
          <reference field="10" count="1" selected="0">
            <x v="0"/>
          </reference>
        </references>
      </pivotArea>
    </format>
    <format dxfId="217">
      <pivotArea dataOnly="0" labelOnly="1" outline="0" fieldPosition="0">
        <references count="4">
          <reference field="0" count="1" selected="0">
            <x v="572"/>
          </reference>
          <reference field="5" count="1" selected="0">
            <x v="4"/>
          </reference>
          <reference field="7" count="1">
            <x v="175"/>
          </reference>
          <reference field="10" count="1" selected="0">
            <x v="2"/>
          </reference>
        </references>
      </pivotArea>
    </format>
    <format dxfId="218">
      <pivotArea dataOnly="0" labelOnly="1" outline="0" fieldPosition="0">
        <references count="4">
          <reference field="0" count="1" selected="0">
            <x v="581"/>
          </reference>
          <reference field="5" count="1" selected="0">
            <x v="3"/>
          </reference>
          <reference field="7" count="1">
            <x v="158"/>
          </reference>
          <reference field="10" count="1" selected="0">
            <x v="0"/>
          </reference>
        </references>
      </pivotArea>
    </format>
    <format dxfId="219">
      <pivotArea dataOnly="0" labelOnly="1" outline="0" fieldPosition="0">
        <references count="4">
          <reference field="0" count="1" selected="0">
            <x v="583"/>
          </reference>
          <reference field="5" count="1" selected="0">
            <x v="4"/>
          </reference>
          <reference field="7" count="1">
            <x v="5"/>
          </reference>
          <reference field="10" count="1" selected="0">
            <x v="2"/>
          </reference>
        </references>
      </pivotArea>
    </format>
    <format dxfId="220">
      <pivotArea dataOnly="0" labelOnly="1" outline="0" fieldPosition="0">
        <references count="4">
          <reference field="0" count="1" selected="0">
            <x v="592"/>
          </reference>
          <reference field="5" count="1" selected="0">
            <x v="4"/>
          </reference>
          <reference field="7" count="1">
            <x v="122"/>
          </reference>
          <reference field="10" count="1" selected="0">
            <x v="0"/>
          </reference>
        </references>
      </pivotArea>
    </format>
    <format dxfId="221">
      <pivotArea dataOnly="0" labelOnly="1" outline="0" fieldPosition="0">
        <references count="4">
          <reference field="0" count="1" selected="0">
            <x v="595"/>
          </reference>
          <reference field="5" count="1" selected="0">
            <x v="4"/>
          </reference>
          <reference field="7" count="1">
            <x v="182"/>
          </reference>
          <reference field="10" count="1" selected="0">
            <x v="2"/>
          </reference>
        </references>
      </pivotArea>
    </format>
    <format dxfId="222">
      <pivotArea dataOnly="0" labelOnly="1" outline="0" fieldPosition="0">
        <references count="5">
          <reference field="0" count="1" selected="0">
            <x v="0"/>
          </reference>
          <reference field="5" count="1" selected="0">
            <x v="4"/>
          </reference>
          <reference field="7" count="1" selected="0">
            <x v="154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223">
      <pivotArea dataOnly="0" labelOnly="1" outline="0" fieldPosition="0">
        <references count="5">
          <reference field="0" count="1" selected="0">
            <x v="3"/>
          </reference>
          <reference field="5" count="1" selected="0">
            <x v="4"/>
          </reference>
          <reference field="7" count="1" selected="0">
            <x v="148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224">
      <pivotArea dataOnly="0" labelOnly="1" outline="0" fieldPosition="0">
        <references count="5">
          <reference field="0" count="1" selected="0">
            <x v="8"/>
          </reference>
          <reference field="5" count="1" selected="0">
            <x v="4"/>
          </reference>
          <reference field="7" count="1" selected="0">
            <x v="27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225">
      <pivotArea dataOnly="0" labelOnly="1" outline="0" fieldPosition="0">
        <references count="5">
          <reference field="0" count="1" selected="0">
            <x v="91"/>
          </reference>
          <reference field="5" count="1" selected="0">
            <x v="1"/>
          </reference>
          <reference field="7" count="1" selected="0">
            <x v="314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26">
      <pivotArea dataOnly="0" labelOnly="1" outline="0" fieldPosition="0">
        <references count="5">
          <reference field="0" count="1" selected="0">
            <x v="130"/>
          </reference>
          <reference field="5" count="1" selected="0">
            <x v="6"/>
          </reference>
          <reference field="7" count="1" selected="0">
            <x v="248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227">
      <pivotArea dataOnly="0" labelOnly="1" outline="0" fieldPosition="0">
        <references count="5">
          <reference field="0" count="1" selected="0">
            <x v="157"/>
          </reference>
          <reference field="5" count="1" selected="0">
            <x v="5"/>
          </reference>
          <reference field="7" count="1" selected="0">
            <x v="350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28">
      <pivotArea dataOnly="0" labelOnly="1" outline="0" fieldPosition="0">
        <references count="5">
          <reference field="0" count="1" selected="0">
            <x v="172"/>
          </reference>
          <reference field="5" count="1" selected="0">
            <x v="6"/>
          </reference>
          <reference field="7" count="1" selected="0">
            <x v="79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229">
      <pivotArea dataOnly="0" labelOnly="1" outline="0" fieldPosition="0">
        <references count="5">
          <reference field="0" count="1" selected="0">
            <x v="216"/>
          </reference>
          <reference field="5" count="1" selected="0">
            <x v="6"/>
          </reference>
          <reference field="7" count="1" selected="0">
            <x v="327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30">
      <pivotArea dataOnly="0" labelOnly="1" outline="0" fieldPosition="0">
        <references count="5">
          <reference field="0" count="1" selected="0">
            <x v="223"/>
          </reference>
          <reference field="5" count="1" selected="0">
            <x v="4"/>
          </reference>
          <reference field="7" count="1" selected="0">
            <x v="346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231">
      <pivotArea dataOnly="0" labelOnly="1" outline="0" fieldPosition="0">
        <references count="5">
          <reference field="0" count="1" selected="0">
            <x v="248"/>
          </reference>
          <reference field="5" count="1" selected="0">
            <x v="4"/>
          </reference>
          <reference field="7" count="1" selected="0">
            <x v="193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32">
      <pivotArea dataOnly="0" labelOnly="1" outline="0" fieldPosition="0">
        <references count="5">
          <reference field="0" count="1" selected="0">
            <x v="252"/>
          </reference>
          <reference field="5" count="1" selected="0">
            <x v="4"/>
          </reference>
          <reference field="7" count="1" selected="0">
            <x v="253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233">
      <pivotArea dataOnly="0" labelOnly="1" outline="0" fieldPosition="0">
        <references count="5">
          <reference field="0" count="1" selected="0">
            <x v="314"/>
          </reference>
          <reference field="5" count="1" selected="0">
            <x v="3"/>
          </reference>
          <reference field="7" count="1" selected="0">
            <x v="77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34">
      <pivotArea dataOnly="0" labelOnly="1" outline="0" fieldPosition="0">
        <references count="5">
          <reference field="0" count="1" selected="0">
            <x v="320"/>
          </reference>
          <reference field="5" count="1" selected="0">
            <x v="4"/>
          </reference>
          <reference field="7" count="1" selected="0">
            <x v="109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235">
      <pivotArea dataOnly="0" labelOnly="1" outline="0" fieldPosition="0">
        <references count="5">
          <reference field="0" count="1" selected="0">
            <x v="363"/>
          </reference>
          <reference field="5" count="1" selected="0">
            <x v="4"/>
          </reference>
          <reference field="7" count="1" selected="0">
            <x v="279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36">
      <pivotArea dataOnly="0" labelOnly="1" outline="0" fieldPosition="0">
        <references count="5">
          <reference field="0" count="1" selected="0">
            <x v="392"/>
          </reference>
          <reference field="5" count="1" selected="0">
            <x v="4"/>
          </reference>
          <reference field="7" count="1" selected="0">
            <x v="118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237">
      <pivotArea dataOnly="0" labelOnly="1" outline="0" fieldPosition="0">
        <references count="5">
          <reference field="0" count="1" selected="0">
            <x v="393"/>
          </reference>
          <reference field="5" count="1" selected="0">
            <x v="1"/>
          </reference>
          <reference field="7" count="1" selected="0">
            <x v="283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38">
      <pivotArea dataOnly="0" labelOnly="1" outline="0" fieldPosition="0">
        <references count="5">
          <reference field="0" count="1" selected="0">
            <x v="401"/>
          </reference>
          <reference field="5" count="1" selected="0">
            <x v="4"/>
          </reference>
          <reference field="7" count="1" selected="0">
            <x v="144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239">
      <pivotArea dataOnly="0" labelOnly="1" outline="0" fieldPosition="0">
        <references count="5">
          <reference field="0" count="1" selected="0">
            <x v="414"/>
          </reference>
          <reference field="5" count="1" selected="0">
            <x v="4"/>
          </reference>
          <reference field="7" count="1" selected="0">
            <x v="219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240">
      <pivotArea dataOnly="0" labelOnly="1" outline="0" fieldPosition="0">
        <references count="5">
          <reference field="0" count="1" selected="0">
            <x v="435"/>
          </reference>
          <reference field="5" count="1" selected="0">
            <x v="3"/>
          </reference>
          <reference field="7" count="1" selected="0">
            <x v="68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241">
      <pivotArea dataOnly="0" labelOnly="1" outline="0" fieldPosition="0">
        <references count="5">
          <reference field="0" count="1" selected="0">
            <x v="491"/>
          </reference>
          <reference field="5" count="1" selected="0">
            <x v="4"/>
          </reference>
          <reference field="7" count="1" selected="0">
            <x v="263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42">
      <pivotArea dataOnly="0" labelOnly="1" outline="0" fieldPosition="0">
        <references count="5">
          <reference field="0" count="1" selected="0">
            <x v="516"/>
          </reference>
          <reference field="5" count="1" selected="0">
            <x v="4"/>
          </reference>
          <reference field="7" count="1" selected="0">
            <x v="319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243">
      <pivotArea dataOnly="0" labelOnly="1" outline="0" fieldPosition="0">
        <references count="5">
          <reference field="0" count="1" selected="0">
            <x v="518"/>
          </reference>
          <reference field="5" count="1" selected="0">
            <x v="4"/>
          </reference>
          <reference field="7" count="1" selected="0">
            <x v="38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44">
      <pivotArea dataOnly="0" labelOnly="1" outline="0" fieldPosition="0">
        <references count="5">
          <reference field="0" count="1" selected="0">
            <x v="525"/>
          </reference>
          <reference field="5" count="1" selected="0">
            <x v="4"/>
          </reference>
          <reference field="7" count="1" selected="0">
            <x v="24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245">
      <pivotArea dataOnly="0" labelOnly="1" outline="0" fieldPosition="0">
        <references count="5">
          <reference field="0" count="1" selected="0">
            <x v="538"/>
          </reference>
          <reference field="5" count="1" selected="0">
            <x v="1"/>
          </reference>
          <reference field="7" count="1" selected="0">
            <x v="194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46">
      <pivotArea dataOnly="0" labelOnly="1" outline="0" fieldPosition="0">
        <references count="5">
          <reference field="0" count="1" selected="0">
            <x v="559"/>
          </reference>
          <reference field="5" count="1" selected="0">
            <x v="3"/>
          </reference>
          <reference field="7" count="1" selected="0">
            <x v="230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247">
      <pivotArea dataOnly="0" labelOnly="1" outline="0" fieldPosition="0">
        <references count="5">
          <reference field="0" count="1" selected="0">
            <x v="595"/>
          </reference>
          <reference field="5" count="1" selected="0">
            <x v="4"/>
          </reference>
          <reference field="7" count="1" selected="0">
            <x v="182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0"/>
          </reference>
          <reference field="5" count="1" selected="0">
            <x v="4"/>
          </reference>
          <reference field="7" count="1" selected="0">
            <x v="15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3"/>
          </reference>
          <reference field="5" count="1" selected="0">
            <x v="4"/>
          </reference>
          <reference field="7" count="1" selected="0">
            <x v="148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8"/>
          </reference>
          <reference field="5" count="1" selected="0">
            <x v="4"/>
          </reference>
          <reference field="7" count="1" selected="0">
            <x v="27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69"/>
          </reference>
          <reference field="5" count="1" selected="0">
            <x v="6"/>
          </reference>
          <reference field="7" count="1" selected="0">
            <x v="28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81"/>
          </reference>
          <reference field="5" count="1" selected="0">
            <x v="4"/>
          </reference>
          <reference field="7" count="1" selected="0">
            <x v="30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82"/>
          </reference>
          <reference field="5" count="1" selected="0">
            <x v="4"/>
          </reference>
          <reference field="7" count="1" selected="0">
            <x v="32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84"/>
          </reference>
          <reference field="5" count="1" selected="0">
            <x v="4"/>
          </reference>
          <reference field="7" count="1" selected="0">
            <x v="15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88"/>
          </reference>
          <reference field="5" count="1" selected="0">
            <x v="4"/>
          </reference>
          <reference field="7" count="1" selected="0">
            <x v="224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91"/>
          </reference>
          <reference field="5" count="1" selected="0">
            <x v="1"/>
          </reference>
          <reference field="7" count="1" selected="0">
            <x v="314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130"/>
          </reference>
          <reference field="5" count="1" selected="0">
            <x v="6"/>
          </reference>
          <reference field="7" count="1" selected="0">
            <x v="248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151"/>
          </reference>
          <reference field="5" count="1" selected="0">
            <x v="4"/>
          </reference>
          <reference field="7" count="1" selected="0">
            <x v="133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154"/>
          </reference>
          <reference field="5" count="1" selected="0">
            <x v="3"/>
          </reference>
          <reference field="7" count="1" selected="0">
            <x v="12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157"/>
          </reference>
          <reference field="5" count="1" selected="0">
            <x v="5"/>
          </reference>
          <reference field="7" count="1" selected="0">
            <x v="35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172"/>
          </reference>
          <reference field="5" count="1" selected="0">
            <x v="6"/>
          </reference>
          <reference field="7" count="1" selected="0">
            <x v="79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175"/>
          </reference>
          <reference field="5" count="1" selected="0">
            <x v="4"/>
          </reference>
          <reference field="7" count="1" selected="0">
            <x v="17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63">
      <pivotArea dataOnly="0" labelOnly="1" outline="0" fieldPosition="0">
        <references count="6">
          <reference field="0" count="1" selected="0">
            <x v="183"/>
          </reference>
          <reference field="5" count="1" selected="0">
            <x v="6"/>
          </reference>
          <reference field="7" count="1" selected="0">
            <x v="170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264">
      <pivotArea dataOnly="0" labelOnly="1" outline="0" fieldPosition="0">
        <references count="6">
          <reference field="0" count="1" selected="0">
            <x v="196"/>
          </reference>
          <reference field="5" count="1" selected="0">
            <x v="4"/>
          </reference>
          <reference field="7" count="1" selected="0">
            <x v="97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65">
      <pivotArea dataOnly="0" labelOnly="1" outline="0" fieldPosition="0">
        <references count="6">
          <reference field="0" count="1" selected="0">
            <x v="207"/>
          </reference>
          <reference field="5" count="1" selected="0">
            <x v="4"/>
          </reference>
          <reference field="7" count="1" selected="0">
            <x v="5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66">
      <pivotArea dataOnly="0" labelOnly="1" outline="0" fieldPosition="0">
        <references count="6">
          <reference field="0" count="1" selected="0">
            <x v="208"/>
          </reference>
          <reference field="5" count="1" selected="0">
            <x v="6"/>
          </reference>
          <reference field="7" count="1" selected="0">
            <x v="71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67">
      <pivotArea dataOnly="0" labelOnly="1" outline="0" fieldPosition="0">
        <references count="6">
          <reference field="0" count="1" selected="0">
            <x v="216"/>
          </reference>
          <reference field="5" count="1" selected="0">
            <x v="6"/>
          </reference>
          <reference field="7" count="1" selected="0">
            <x v="32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68">
      <pivotArea dataOnly="0" labelOnly="1" outline="0" fieldPosition="0">
        <references count="6">
          <reference field="0" count="1" selected="0">
            <x v="223"/>
          </reference>
          <reference field="5" count="1" selected="0">
            <x v="4"/>
          </reference>
          <reference field="7" count="1" selected="0">
            <x v="346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69">
      <pivotArea dataOnly="0" labelOnly="1" outline="0" fieldPosition="0">
        <references count="6">
          <reference field="0" count="1" selected="0">
            <x v="225"/>
          </reference>
          <reference field="5" count="1" selected="0">
            <x v="4"/>
          </reference>
          <reference field="7" count="1" selected="0">
            <x v="209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70">
      <pivotArea dataOnly="0" labelOnly="1" outline="0" fieldPosition="0">
        <references count="6">
          <reference field="0" count="1" selected="0">
            <x v="227"/>
          </reference>
          <reference field="5" count="1" selected="0">
            <x v="4"/>
          </reference>
          <reference field="7" count="1" selected="0">
            <x v="28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71">
      <pivotArea dataOnly="0" labelOnly="1" outline="0" fieldPosition="0">
        <references count="6">
          <reference field="0" count="1" selected="0">
            <x v="238"/>
          </reference>
          <reference field="5" count="1" selected="0">
            <x v="4"/>
          </reference>
          <reference field="7" count="1" selected="0">
            <x v="200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72">
      <pivotArea dataOnly="0" labelOnly="1" outline="0" fieldPosition="0">
        <references count="6">
          <reference field="0" count="1" selected="0">
            <x v="243"/>
          </reference>
          <reference field="5" count="1" selected="0">
            <x v="4"/>
          </reference>
          <reference field="7" count="1" selected="0">
            <x v="20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73">
      <pivotArea dataOnly="0" labelOnly="1" outline="0" fieldPosition="0">
        <references count="6">
          <reference field="0" count="1" selected="0">
            <x v="248"/>
          </reference>
          <reference field="5" count="1" selected="0">
            <x v="4"/>
          </reference>
          <reference field="7" count="1" selected="0">
            <x v="19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74">
      <pivotArea dataOnly="0" labelOnly="1" outline="0" fieldPosition="0">
        <references count="6">
          <reference field="0" count="1" selected="0">
            <x v="252"/>
          </reference>
          <reference field="5" count="1" selected="0">
            <x v="4"/>
          </reference>
          <reference field="7" count="1" selected="0">
            <x v="253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275">
      <pivotArea dataOnly="0" labelOnly="1" outline="0" fieldPosition="0">
        <references count="6">
          <reference field="0" count="1" selected="0">
            <x v="274"/>
          </reference>
          <reference field="5" count="1" selected="0">
            <x v="4"/>
          </reference>
          <reference field="7" count="1" selected="0">
            <x v="171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276">
      <pivotArea dataOnly="0" labelOnly="1" outline="0" fieldPosition="0">
        <references count="6">
          <reference field="0" count="1" selected="0">
            <x v="278"/>
          </reference>
          <reference field="5" count="1" selected="0">
            <x v="4"/>
          </reference>
          <reference field="7" count="1" selected="0">
            <x v="194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77">
      <pivotArea dataOnly="0" labelOnly="1" outline="0" fieldPosition="0">
        <references count="6">
          <reference field="0" count="1" selected="0">
            <x v="293"/>
          </reference>
          <reference field="5" count="1" selected="0">
            <x v="4"/>
          </reference>
          <reference field="7" count="1" selected="0">
            <x v="296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78">
      <pivotArea dataOnly="0" labelOnly="1" outline="0" fieldPosition="0">
        <references count="6">
          <reference field="0" count="1" selected="0">
            <x v="305"/>
          </reference>
          <reference field="5" count="1" selected="0">
            <x v="4"/>
          </reference>
          <reference field="7" count="1" selected="0">
            <x v="277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79">
      <pivotArea dataOnly="0" labelOnly="1" outline="0" fieldPosition="0">
        <references count="6">
          <reference field="0" count="1" selected="0">
            <x v="311"/>
          </reference>
          <reference field="5" count="1" selected="0">
            <x v="6"/>
          </reference>
          <reference field="7" count="1" selected="0">
            <x v="201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80">
      <pivotArea dataOnly="0" labelOnly="1" outline="0" fieldPosition="0">
        <references count="6">
          <reference field="0" count="1" selected="0">
            <x v="314"/>
          </reference>
          <reference field="5" count="1" selected="0">
            <x v="3"/>
          </reference>
          <reference field="7" count="1" selected="0">
            <x v="7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81">
      <pivotArea dataOnly="0" labelOnly="1" outline="0" fieldPosition="0">
        <references count="6">
          <reference field="0" count="1" selected="0">
            <x v="320"/>
          </reference>
          <reference field="5" count="1" selected="0">
            <x v="4"/>
          </reference>
          <reference field="7" count="1" selected="0">
            <x v="109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82">
      <pivotArea dataOnly="0" labelOnly="1" outline="0" fieldPosition="0">
        <references count="6">
          <reference field="0" count="1" selected="0">
            <x v="322"/>
          </reference>
          <reference field="5" count="1" selected="0">
            <x v="4"/>
          </reference>
          <reference field="7" count="1" selected="0">
            <x v="199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83">
      <pivotArea dataOnly="0" labelOnly="1" outline="0" fieldPosition="0">
        <references count="6">
          <reference field="0" count="1" selected="0">
            <x v="334"/>
          </reference>
          <reference field="5" count="1" selected="0">
            <x v="6"/>
          </reference>
          <reference field="7" count="1" selected="0">
            <x v="250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84">
      <pivotArea dataOnly="0" labelOnly="1" outline="0" fieldPosition="0">
        <references count="6">
          <reference field="0" count="1" selected="0">
            <x v="337"/>
          </reference>
          <reference field="5" count="1" selected="0">
            <x v="4"/>
          </reference>
          <reference field="7" count="1" selected="0">
            <x v="363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285">
      <pivotArea dataOnly="0" labelOnly="1" outline="0" fieldPosition="0">
        <references count="6">
          <reference field="0" count="1" selected="0">
            <x v="345"/>
          </reference>
          <reference field="5" count="1" selected="0">
            <x v="4"/>
          </reference>
          <reference field="7" count="1" selected="0">
            <x v="14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86">
      <pivotArea dataOnly="0" labelOnly="1" outline="0" fieldPosition="0">
        <references count="6">
          <reference field="0" count="1" selected="0">
            <x v="347"/>
          </reference>
          <reference field="5" count="1" selected="0">
            <x v="4"/>
          </reference>
          <reference field="7" count="1" selected="0">
            <x v="150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87">
      <pivotArea dataOnly="0" labelOnly="1" outline="0" fieldPosition="0">
        <references count="6">
          <reference field="0" count="1" selected="0">
            <x v="351"/>
          </reference>
          <reference field="5" count="1" selected="0">
            <x v="4"/>
          </reference>
          <reference field="7" count="1" selected="0">
            <x v="77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88">
      <pivotArea dataOnly="0" labelOnly="1" outline="0" fieldPosition="0">
        <references count="6">
          <reference field="0" count="1" selected="0">
            <x v="360"/>
          </reference>
          <reference field="5" count="1" selected="0">
            <x v="3"/>
          </reference>
          <reference field="7" count="1" selected="0">
            <x v="275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89">
      <pivotArea dataOnly="0" labelOnly="1" outline="0" fieldPosition="0">
        <references count="6">
          <reference field="0" count="1" selected="0">
            <x v="363"/>
          </reference>
          <reference field="5" count="1" selected="0">
            <x v="4"/>
          </reference>
          <reference field="7" count="1" selected="0">
            <x v="27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90">
      <pivotArea dataOnly="0" labelOnly="1" outline="0" fieldPosition="0">
        <references count="6">
          <reference field="0" count="1" selected="0">
            <x v="392"/>
          </reference>
          <reference field="5" count="1" selected="0">
            <x v="4"/>
          </reference>
          <reference field="7" count="1" selected="0">
            <x v="118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91">
      <pivotArea dataOnly="0" labelOnly="1" outline="0" fieldPosition="0">
        <references count="6">
          <reference field="0" count="1" selected="0">
            <x v="393"/>
          </reference>
          <reference field="5" count="1" selected="0">
            <x v="1"/>
          </reference>
          <reference field="7" count="1" selected="0">
            <x v="28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292">
      <pivotArea dataOnly="0" labelOnly="1" outline="0" fieldPosition="0">
        <references count="6">
          <reference field="0" count="1" selected="0">
            <x v="401"/>
          </reference>
          <reference field="5" count="1" selected="0">
            <x v="4"/>
          </reference>
          <reference field="7" count="1" selected="0">
            <x v="144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93">
      <pivotArea dataOnly="0" labelOnly="1" outline="0" fieldPosition="0">
        <references count="6">
          <reference field="0" count="1" selected="0">
            <x v="414"/>
          </reference>
          <reference field="5" count="1" selected="0">
            <x v="4"/>
          </reference>
          <reference field="7" count="1" selected="0">
            <x v="219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294">
      <pivotArea dataOnly="0" labelOnly="1" outline="0" fieldPosition="0">
        <references count="6">
          <reference field="0" count="1" selected="0">
            <x v="435"/>
          </reference>
          <reference field="5" count="1" selected="0">
            <x v="3"/>
          </reference>
          <reference field="7" count="1" selected="0">
            <x v="68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95">
      <pivotArea dataOnly="0" labelOnly="1" outline="0" fieldPosition="0">
        <references count="6">
          <reference field="0" count="1" selected="0">
            <x v="464"/>
          </reference>
          <reference field="5" count="1" selected="0">
            <x v="3"/>
          </reference>
          <reference field="7" count="1" selected="0">
            <x v="283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96">
      <pivotArea dataOnly="0" labelOnly="1" outline="0" fieldPosition="0">
        <references count="6">
          <reference field="0" count="1" selected="0">
            <x v="470"/>
          </reference>
          <reference field="5" count="1" selected="0">
            <x v="4"/>
          </reference>
          <reference field="7" count="1" selected="0">
            <x v="192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97">
      <pivotArea dataOnly="0" labelOnly="1" outline="0" fieldPosition="0">
        <references count="6">
          <reference field="0" count="1" selected="0">
            <x v="474"/>
          </reference>
          <reference field="5" count="1" selected="0">
            <x v="4"/>
          </reference>
          <reference field="7" count="1" selected="0">
            <x v="146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298">
      <pivotArea dataOnly="0" labelOnly="1" outline="0" fieldPosition="0">
        <references count="6">
          <reference field="0" count="1" selected="0">
            <x v="477"/>
          </reference>
          <reference field="5" count="1" selected="0">
            <x v="6"/>
          </reference>
          <reference field="7" count="1" selected="0">
            <x v="158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299">
      <pivotArea dataOnly="0" labelOnly="1" outline="0" fieldPosition="0">
        <references count="6">
          <reference field="0" count="1" selected="0">
            <x v="486"/>
          </reference>
          <reference field="5" count="1" selected="0">
            <x v="4"/>
          </reference>
          <reference field="7" count="1" selected="0">
            <x v="61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300">
      <pivotArea dataOnly="0" labelOnly="1" outline="0" fieldPosition="0">
        <references count="6">
          <reference field="0" count="1" selected="0">
            <x v="491"/>
          </reference>
          <reference field="5" count="1" selected="0">
            <x v="4"/>
          </reference>
          <reference field="7" count="1" selected="0">
            <x v="26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01">
      <pivotArea dataOnly="0" labelOnly="1" outline="0" fieldPosition="0">
        <references count="6">
          <reference field="0" count="1" selected="0">
            <x v="516"/>
          </reference>
          <reference field="5" count="1" selected="0">
            <x v="4"/>
          </reference>
          <reference field="7" count="1" selected="0">
            <x v="319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302">
      <pivotArea dataOnly="0" labelOnly="1" outline="0" fieldPosition="0">
        <references count="6">
          <reference field="0" count="1" selected="0">
            <x v="518"/>
          </reference>
          <reference field="5" count="1" selected="0">
            <x v="4"/>
          </reference>
          <reference field="7" count="1" selected="0">
            <x v="38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03">
      <pivotArea dataOnly="0" labelOnly="1" outline="0" fieldPosition="0">
        <references count="6">
          <reference field="0" count="1" selected="0">
            <x v="525"/>
          </reference>
          <reference field="5" count="1" selected="0">
            <x v="4"/>
          </reference>
          <reference field="7" count="1" selected="0">
            <x v="2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304">
      <pivotArea dataOnly="0" labelOnly="1" outline="0" fieldPosition="0">
        <references count="6">
          <reference field="0" count="1" selected="0">
            <x v="538"/>
          </reference>
          <reference field="5" count="1" selected="0">
            <x v="1"/>
          </reference>
          <reference field="7" count="1" selected="0">
            <x v="194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05">
      <pivotArea dataOnly="0" labelOnly="1" outline="0" fieldPosition="0">
        <references count="6">
          <reference field="0" count="1" selected="0">
            <x v="548"/>
          </reference>
          <reference field="5" count="1" selected="0">
            <x v="1"/>
          </reference>
          <reference field="7" count="1" selected="0">
            <x v="328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306">
      <pivotArea dataOnly="0" labelOnly="1" outline="0" fieldPosition="0">
        <references count="6">
          <reference field="0" count="1" selected="0">
            <x v="556"/>
          </reference>
          <reference field="5" count="1" selected="0">
            <x v="1"/>
          </reference>
          <reference field="7" count="1" selected="0">
            <x v="22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07">
      <pivotArea dataOnly="0" labelOnly="1" outline="0" fieldPosition="0">
        <references count="6">
          <reference field="0" count="1" selected="0">
            <x v="559"/>
          </reference>
          <reference field="5" count="1" selected="0">
            <x v="3"/>
          </reference>
          <reference field="7" count="1" selected="0">
            <x v="230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308">
      <pivotArea dataOnly="0" labelOnly="1" outline="0" fieldPosition="0">
        <references count="6">
          <reference field="0" count="1" selected="0">
            <x v="572"/>
          </reference>
          <reference field="5" count="1" selected="0">
            <x v="4"/>
          </reference>
          <reference field="7" count="1" selected="0">
            <x v="17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309">
      <pivotArea dataOnly="0" labelOnly="1" outline="0" fieldPosition="0">
        <references count="6">
          <reference field="0" count="1" selected="0">
            <x v="581"/>
          </reference>
          <reference field="5" count="1" selected="0">
            <x v="3"/>
          </reference>
          <reference field="7" count="1" selected="0">
            <x v="158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310">
      <pivotArea dataOnly="0" labelOnly="1" outline="0" fieldPosition="0">
        <references count="6">
          <reference field="0" count="1" selected="0">
            <x v="583"/>
          </reference>
          <reference field="5" count="1" selected="0">
            <x v="4"/>
          </reference>
          <reference field="7" count="1" selected="0">
            <x v="5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11">
      <pivotArea dataOnly="0" labelOnly="1" outline="0" fieldPosition="0">
        <references count="6">
          <reference field="0" count="1" selected="0">
            <x v="592"/>
          </reference>
          <reference field="5" count="1" selected="0">
            <x v="4"/>
          </reference>
          <reference field="7" count="1" selected="0">
            <x v="122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312">
      <pivotArea dataOnly="0" labelOnly="1" outline="0" fieldPosition="0">
        <references count="6">
          <reference field="0" count="1" selected="0">
            <x v="595"/>
          </reference>
          <reference field="5" count="1" selected="0">
            <x v="4"/>
          </reference>
          <reference field="7" count="1" selected="0">
            <x v="18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313">
      <pivotArea outline="0" fieldPosition="0">
        <references count="6">
          <reference field="0" count="103" selected="0">
            <x v="6"/>
            <x v="15"/>
            <x v="16"/>
            <x v="19"/>
            <x v="20"/>
            <x v="22"/>
            <x v="24"/>
            <x v="26"/>
            <x v="39"/>
            <x v="55"/>
            <x v="58"/>
            <x v="60"/>
            <x v="79"/>
            <x v="86"/>
            <x v="89"/>
            <x v="99"/>
            <x v="105"/>
            <x v="106"/>
            <x v="115"/>
            <x v="118"/>
            <x v="131"/>
            <x v="136"/>
            <x v="139"/>
            <x v="142"/>
            <x v="147"/>
            <x v="153"/>
            <x v="156"/>
            <x v="158"/>
            <x v="160"/>
            <x v="162"/>
            <x v="170"/>
            <x v="192"/>
            <x v="193"/>
            <x v="203"/>
            <x v="215"/>
            <x v="219"/>
            <x v="222"/>
            <x v="226"/>
            <x v="231"/>
            <x v="237"/>
            <x v="253"/>
            <x v="260"/>
            <x v="264"/>
            <x v="273"/>
            <x v="276"/>
            <x v="279"/>
            <x v="280"/>
            <x v="281"/>
            <x v="288"/>
            <x v="295"/>
            <x v="303"/>
            <x v="304"/>
            <x v="307"/>
            <x v="318"/>
            <x v="327"/>
            <x v="333"/>
            <x v="341"/>
            <x v="358"/>
            <x v="366"/>
            <x v="369"/>
            <x v="373"/>
            <x v="375"/>
            <x v="380"/>
            <x v="382"/>
            <x v="387"/>
            <x v="388"/>
            <x v="398"/>
            <x v="407"/>
            <x v="429"/>
            <x v="431"/>
            <x v="434"/>
            <x v="438"/>
            <x v="440"/>
            <x v="448"/>
            <x v="449"/>
            <x v="451"/>
            <x v="452"/>
            <x v="458"/>
            <x v="461"/>
            <x v="463"/>
            <x v="466"/>
            <x v="467"/>
            <x v="473"/>
            <x v="482"/>
            <x v="487"/>
            <x v="489"/>
            <x v="495"/>
            <x v="497"/>
            <x v="508"/>
            <x v="512"/>
            <x v="526"/>
            <x v="540"/>
            <x v="544"/>
            <x v="561"/>
            <x v="563"/>
            <x v="569"/>
            <x v="578"/>
            <x v="579"/>
            <x v="582"/>
            <x v="589"/>
            <x v="590"/>
            <x v="591"/>
            <x v="599"/>
          </reference>
          <reference field="5" count="0" selected="0"/>
          <reference field="7" count="88" selected="0">
            <x v="4"/>
            <x v="21"/>
            <x v="29"/>
            <x v="35"/>
            <x v="46"/>
            <x v="49"/>
            <x v="50"/>
            <x v="51"/>
            <x v="53"/>
            <x v="56"/>
            <x v="84"/>
            <x v="86"/>
            <x v="87"/>
            <x v="91"/>
            <x v="94"/>
            <x v="99"/>
            <x v="100"/>
            <x v="105"/>
            <x v="110"/>
            <x v="116"/>
            <x v="120"/>
            <x v="121"/>
            <x v="126"/>
            <x v="127"/>
            <x v="133"/>
            <x v="140"/>
            <x v="143"/>
            <x v="144"/>
            <x v="147"/>
            <x v="150"/>
            <x v="152"/>
            <x v="153"/>
            <x v="155"/>
            <x v="157"/>
            <x v="161"/>
            <x v="165"/>
            <x v="180"/>
            <x v="183"/>
            <x v="184"/>
            <x v="188"/>
            <x v="193"/>
            <x v="198"/>
            <x v="199"/>
            <x v="204"/>
            <x v="207"/>
            <x v="208"/>
            <x v="209"/>
            <x v="210"/>
            <x v="212"/>
            <x v="220"/>
            <x v="224"/>
            <x v="226"/>
            <x v="227"/>
            <x v="237"/>
            <x v="240"/>
            <x v="243"/>
            <x v="249"/>
            <x v="254"/>
            <x v="256"/>
            <x v="258"/>
            <x v="260"/>
            <x v="261"/>
            <x v="264"/>
            <x v="266"/>
            <x v="272"/>
            <x v="278"/>
            <x v="280"/>
            <x v="286"/>
            <x v="292"/>
            <x v="301"/>
            <x v="309"/>
            <x v="312"/>
            <x v="313"/>
            <x v="315"/>
            <x v="321"/>
            <x v="329"/>
            <x v="332"/>
            <x v="333"/>
            <x v="337"/>
            <x v="341"/>
            <x v="342"/>
            <x v="345"/>
            <x v="347"/>
            <x v="349"/>
            <x v="356"/>
            <x v="370"/>
            <x v="372"/>
            <x v="375"/>
          </reference>
          <reference field="8" count="0" selected="0"/>
          <reference field="10" count="0" selected="0"/>
          <reference field="17" count="0" selected="0"/>
        </references>
      </pivotArea>
    </format>
    <format dxfId="314">
      <pivotArea dataOnly="0" labelOnly="1" outline="0" fieldPosition="0">
        <references count="1">
          <reference field="0" count="50">
            <x v="6"/>
            <x v="15"/>
            <x v="16"/>
            <x v="19"/>
            <x v="20"/>
            <x v="22"/>
            <x v="24"/>
            <x v="26"/>
            <x v="39"/>
            <x v="55"/>
            <x v="58"/>
            <x v="60"/>
            <x v="79"/>
            <x v="86"/>
            <x v="89"/>
            <x v="99"/>
            <x v="105"/>
            <x v="106"/>
            <x v="115"/>
            <x v="118"/>
            <x v="131"/>
            <x v="136"/>
            <x v="139"/>
            <x v="142"/>
            <x v="147"/>
            <x v="153"/>
            <x v="156"/>
            <x v="158"/>
            <x v="160"/>
            <x v="162"/>
            <x v="170"/>
            <x v="192"/>
            <x v="193"/>
            <x v="203"/>
            <x v="215"/>
            <x v="219"/>
            <x v="222"/>
            <x v="226"/>
            <x v="231"/>
            <x v="237"/>
            <x v="253"/>
            <x v="260"/>
            <x v="264"/>
            <x v="273"/>
            <x v="276"/>
            <x v="279"/>
            <x v="280"/>
            <x v="281"/>
            <x v="288"/>
            <x v="295"/>
          </reference>
        </references>
      </pivotArea>
    </format>
    <format dxfId="315">
      <pivotArea dataOnly="0" labelOnly="1" outline="0" fieldPosition="0">
        <references count="1">
          <reference field="0" count="50">
            <x v="303"/>
            <x v="304"/>
            <x v="307"/>
            <x v="318"/>
            <x v="327"/>
            <x v="333"/>
            <x v="341"/>
            <x v="358"/>
            <x v="366"/>
            <x v="369"/>
            <x v="373"/>
            <x v="375"/>
            <x v="380"/>
            <x v="382"/>
            <x v="387"/>
            <x v="388"/>
            <x v="398"/>
            <x v="407"/>
            <x v="429"/>
            <x v="431"/>
            <x v="434"/>
            <x v="438"/>
            <x v="440"/>
            <x v="448"/>
            <x v="449"/>
            <x v="451"/>
            <x v="452"/>
            <x v="458"/>
            <x v="461"/>
            <x v="463"/>
            <x v="466"/>
            <x v="467"/>
            <x v="473"/>
            <x v="482"/>
            <x v="487"/>
            <x v="489"/>
            <x v="495"/>
            <x v="497"/>
            <x v="508"/>
            <x v="512"/>
            <x v="526"/>
            <x v="540"/>
            <x v="544"/>
            <x v="561"/>
            <x v="563"/>
            <x v="569"/>
            <x v="578"/>
            <x v="579"/>
            <x v="582"/>
            <x v="589"/>
          </reference>
        </references>
      </pivotArea>
    </format>
    <format dxfId="316">
      <pivotArea dataOnly="0" labelOnly="1" outline="0" fieldPosition="0">
        <references count="1">
          <reference field="0" count="3">
            <x v="590"/>
            <x v="591"/>
            <x v="599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6"/>
          </reference>
          <reference field="10" count="1">
            <x v="2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20"/>
          </reference>
          <reference field="10" count="1">
            <x v="0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22"/>
          </reference>
          <reference field="10" count="1">
            <x v="2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26"/>
          </reference>
          <reference field="10" count="1">
            <x v="0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39"/>
          </reference>
          <reference field="10" count="1">
            <x v="2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55"/>
          </reference>
          <reference field="10" count="1">
            <x v="1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58"/>
          </reference>
          <reference field="10" count="1">
            <x v="2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89"/>
          </reference>
          <reference field="10" count="1">
            <x v="0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99"/>
          </reference>
          <reference field="10" count="1">
            <x v="2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105"/>
          </reference>
          <reference field="10" count="1">
            <x v="0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06"/>
          </reference>
          <reference field="10" count="1">
            <x v="2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115"/>
          </reference>
          <reference field="10" count="1">
            <x v="0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18"/>
          </reference>
          <reference field="10" count="1">
            <x v="2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131"/>
          </reference>
          <reference field="10" count="1">
            <x v="0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36"/>
          </reference>
          <reference field="10" count="1">
            <x v="2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39"/>
          </reference>
          <reference field="10" count="1">
            <x v="0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42"/>
          </reference>
          <reference field="10" count="1">
            <x v="2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47"/>
          </reference>
          <reference field="10" count="1">
            <x v="0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56"/>
          </reference>
          <reference field="10" count="1">
            <x v="2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160"/>
          </reference>
          <reference field="10" count="1">
            <x v="0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162"/>
          </reference>
          <reference field="10" count="1">
            <x v="2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170"/>
          </reference>
          <reference field="10" count="1">
            <x v="1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215"/>
          </reference>
          <reference field="10" count="1">
            <x v="2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219"/>
          </reference>
          <reference field="10" count="1">
            <x v="0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222"/>
          </reference>
          <reference field="10" count="1">
            <x v="2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226"/>
          </reference>
          <reference field="10" count="1">
            <x v="0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231"/>
          </reference>
          <reference field="10" count="1">
            <x v="2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253"/>
          </reference>
          <reference field="10" count="1">
            <x v="0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264"/>
          </reference>
          <reference field="10" count="1">
            <x v="1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273"/>
          </reference>
          <reference field="10" count="1">
            <x v="0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276"/>
          </reference>
          <reference field="10" count="1">
            <x v="1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279"/>
          </reference>
          <reference field="10" count="1">
            <x v="0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280"/>
          </reference>
          <reference field="10" count="1">
            <x v="2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281"/>
          </reference>
          <reference field="10" count="1">
            <x v="0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288"/>
          </reference>
          <reference field="10" count="1">
            <x v="2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303"/>
          </reference>
          <reference field="10" count="1">
            <x v="0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304"/>
          </reference>
          <reference field="10" count="1">
            <x v="2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341"/>
          </reference>
          <reference field="10" count="1">
            <x v="0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366"/>
          </reference>
          <reference field="10" count="1">
            <x v="2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373"/>
          </reference>
          <reference field="10" count="1">
            <x v="0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380"/>
          </reference>
          <reference field="10" count="1">
            <x v="2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388"/>
          </reference>
          <reference field="10" count="1">
            <x v="1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407"/>
          </reference>
          <reference field="10" count="1">
            <x v="2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429"/>
          </reference>
          <reference field="10" count="1">
            <x v="0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431"/>
          </reference>
          <reference field="10" count="1">
            <x v="2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434"/>
          </reference>
          <reference field="10" count="1">
            <x v="0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448"/>
          </reference>
          <reference field="10" count="1">
            <x v="1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449"/>
          </reference>
          <reference field="10" count="1">
            <x v="2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451"/>
          </reference>
          <reference field="10" count="1">
            <x v="0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452"/>
          </reference>
          <reference field="10" count="1">
            <x v="2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467"/>
          </reference>
          <reference field="10" count="1">
            <x v="0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473"/>
          </reference>
          <reference field="10" count="1">
            <x v="2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482"/>
          </reference>
          <reference field="10" count="1">
            <x v="0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487"/>
          </reference>
          <reference field="10" count="1">
            <x v="1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497"/>
          </reference>
          <reference field="10" count="1">
            <x v="2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512"/>
          </reference>
          <reference field="10" count="1">
            <x v="0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526"/>
          </reference>
          <reference field="10" count="1">
            <x v="1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540"/>
          </reference>
          <reference field="10" count="1">
            <x v="0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561"/>
          </reference>
          <reference field="10" count="1">
            <x v="2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563"/>
          </reference>
          <reference field="10" count="1">
            <x v="1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569"/>
          </reference>
          <reference field="10" count="1">
            <x v="2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582"/>
          </reference>
          <reference field="10" count="1">
            <x v="1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589"/>
          </reference>
          <reference field="10" count="1">
            <x v="2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591"/>
          </reference>
          <reference field="10" count="1">
            <x v="0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599"/>
          </reference>
          <reference field="10" count="1">
            <x v="2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15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1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19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20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22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26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55"/>
          </reference>
          <reference field="5" count="1">
            <x v="6"/>
          </reference>
          <reference field="10" count="1" selected="0">
            <x v="1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58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60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79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8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89"/>
          </reference>
          <reference field="5" count="1">
            <x v="2"/>
          </reference>
          <reference field="10" count="1" selected="0">
            <x v="0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99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105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106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115"/>
          </reference>
          <reference field="5" count="1">
            <x v="1"/>
          </reference>
          <reference field="10" count="1" selected="0">
            <x v="0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131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136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139"/>
          </reference>
          <reference field="5" count="1">
            <x v="2"/>
          </reference>
          <reference field="10" count="1" selected="0">
            <x v="0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142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153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15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162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170"/>
          </reference>
          <reference field="5" count="1">
            <x v="3"/>
          </reference>
          <reference field="10" count="1" selected="0">
            <x v="1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192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203"/>
          </reference>
          <reference field="5" count="1">
            <x v="3"/>
          </reference>
          <reference field="10" count="1" selected="0">
            <x v="1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215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222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226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231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237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260"/>
          </reference>
          <reference field="5" count="1">
            <x v="0"/>
          </reference>
          <reference field="10" count="1" selected="0">
            <x v="0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264"/>
          </reference>
          <reference field="5" count="1">
            <x v="1"/>
          </reference>
          <reference field="10" count="1" selected="0">
            <x v="1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273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276"/>
          </reference>
          <reference field="5" count="1">
            <x v="5"/>
          </reference>
          <reference field="10" count="1" selected="0">
            <x v="1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279"/>
          </reference>
          <reference field="5" count="1">
            <x v="1"/>
          </reference>
          <reference field="10" count="1" selected="0">
            <x v="0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280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288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295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303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304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307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327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333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341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358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36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369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373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380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382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387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407"/>
          </reference>
          <reference field="5" count="1">
            <x v="6"/>
          </reference>
          <reference field="10" count="1" selected="0">
            <x v="2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429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431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434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438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440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452"/>
          </reference>
          <reference field="5" count="1">
            <x v="1"/>
          </reference>
          <reference field="10" count="1" selected="0">
            <x v="2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458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463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46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467"/>
          </reference>
          <reference field="5" count="1">
            <x v="1"/>
          </reference>
          <reference field="10" count="1" selected="0">
            <x v="0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482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487"/>
          </reference>
          <reference field="5" count="1">
            <x v="3"/>
          </reference>
          <reference field="10" count="1" selected="0">
            <x v="1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489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512"/>
          </reference>
          <reference field="5" count="1">
            <x v="6"/>
          </reference>
          <reference field="10" count="1" selected="0">
            <x v="0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526"/>
          </reference>
          <reference field="5" count="1">
            <x v="3"/>
          </reference>
          <reference field="10" count="1" selected="0">
            <x v="1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540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561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578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579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589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591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599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458">
      <pivotArea dataOnly="0" labelOnly="1" outline="0" fieldPosition="0">
        <references count="4">
          <reference field="0" count="1" selected="0">
            <x v="6"/>
          </reference>
          <reference field="5" count="1" selected="0">
            <x v="4"/>
          </reference>
          <reference field="7" count="1">
            <x v="144"/>
          </reference>
          <reference field="10" count="1" selected="0">
            <x v="2"/>
          </reference>
        </references>
      </pivotArea>
    </format>
    <format dxfId="459">
      <pivotArea dataOnly="0" labelOnly="1" outline="0" fieldPosition="0">
        <references count="4">
          <reference field="0" count="1" selected="0">
            <x v="15"/>
          </reference>
          <reference field="5" count="1" selected="0">
            <x v="1"/>
          </reference>
          <reference field="7" count="1">
            <x v="188"/>
          </reference>
          <reference field="10" count="1" selected="0">
            <x v="2"/>
          </reference>
        </references>
      </pivotArea>
    </format>
    <format dxfId="460">
      <pivotArea dataOnly="0" labelOnly="1" outline="0" fieldPosition="0">
        <references count="4">
          <reference field="0" count="1" selected="0">
            <x v="16"/>
          </reference>
          <reference field="5" count="1" selected="0">
            <x v="4"/>
          </reference>
          <reference field="7" count="1">
            <x v="121"/>
          </reference>
          <reference field="10" count="1" selected="0">
            <x v="2"/>
          </reference>
        </references>
      </pivotArea>
    </format>
    <format dxfId="461">
      <pivotArea dataOnly="0" labelOnly="1" outline="0" fieldPosition="0">
        <references count="4">
          <reference field="0" count="1" selected="0">
            <x v="19"/>
          </reference>
          <reference field="5" count="1" selected="0">
            <x v="0"/>
          </reference>
          <reference field="7" count="1">
            <x v="292"/>
          </reference>
          <reference field="10" count="1" selected="0">
            <x v="2"/>
          </reference>
        </references>
      </pivotArea>
    </format>
    <format dxfId="462">
      <pivotArea dataOnly="0" labelOnly="1" outline="0" fieldPosition="0">
        <references count="4">
          <reference field="0" count="1" selected="0">
            <x v="20"/>
          </reference>
          <reference field="5" count="1" selected="0">
            <x v="4"/>
          </reference>
          <reference field="7" count="1">
            <x v="155"/>
          </reference>
          <reference field="10" count="1" selected="0">
            <x v="0"/>
          </reference>
        </references>
      </pivotArea>
    </format>
    <format dxfId="463">
      <pivotArea dataOnly="0" labelOnly="1" outline="0" fieldPosition="0">
        <references count="4">
          <reference field="0" count="1" selected="0">
            <x v="22"/>
          </reference>
          <reference field="5" count="1" selected="0">
            <x v="5"/>
          </reference>
          <reference field="7" count="1">
            <x v="29"/>
          </reference>
          <reference field="10" count="1" selected="0">
            <x v="2"/>
          </reference>
        </references>
      </pivotArea>
    </format>
    <format dxfId="464">
      <pivotArea dataOnly="0" labelOnly="1" outline="0" fieldPosition="0">
        <references count="4">
          <reference field="0" count="1" selected="0">
            <x v="24"/>
          </reference>
          <reference field="5" count="1" selected="0">
            <x v="5"/>
          </reference>
          <reference field="7" count="1">
            <x v="150"/>
          </reference>
          <reference field="10" count="1" selected="0">
            <x v="2"/>
          </reference>
        </references>
      </pivotArea>
    </format>
    <format dxfId="465">
      <pivotArea dataOnly="0" labelOnly="1" outline="0" fieldPosition="0">
        <references count="4">
          <reference field="0" count="1" selected="0">
            <x v="26"/>
          </reference>
          <reference field="5" count="1" selected="0">
            <x v="4"/>
          </reference>
          <reference field="7" count="1">
            <x v="347"/>
          </reference>
          <reference field="10" count="1" selected="0">
            <x v="0"/>
          </reference>
        </references>
      </pivotArea>
    </format>
    <format dxfId="466">
      <pivotArea dataOnly="0" labelOnly="1" outline="0" fieldPosition="0">
        <references count="4">
          <reference field="0" count="1" selected="0">
            <x v="39"/>
          </reference>
          <reference field="5" count="1" selected="0">
            <x v="4"/>
          </reference>
          <reference field="7" count="1">
            <x v="161"/>
          </reference>
          <reference field="10" count="1" selected="0">
            <x v="2"/>
          </reference>
        </references>
      </pivotArea>
    </format>
    <format dxfId="467">
      <pivotArea dataOnly="0" labelOnly="1" outline="0" fieldPosition="0">
        <references count="4">
          <reference field="0" count="1" selected="0">
            <x v="55"/>
          </reference>
          <reference field="5" count="1" selected="0">
            <x v="6"/>
          </reference>
          <reference field="7" count="1">
            <x v="341"/>
          </reference>
          <reference field="10" count="1" selected="0">
            <x v="1"/>
          </reference>
        </references>
      </pivotArea>
    </format>
    <format dxfId="468">
      <pivotArea dataOnly="0" labelOnly="1" outline="0" fieldPosition="0">
        <references count="4">
          <reference field="0" count="1" selected="0">
            <x v="58"/>
          </reference>
          <reference field="5" count="1" selected="0">
            <x v="2"/>
          </reference>
          <reference field="7" count="1">
            <x v="349"/>
          </reference>
          <reference field="10" count="1" selected="0">
            <x v="2"/>
          </reference>
        </references>
      </pivotArea>
    </format>
    <format dxfId="469">
      <pivotArea dataOnly="0" labelOnly="1" outline="0" fieldPosition="0">
        <references count="4">
          <reference field="0" count="1" selected="0">
            <x v="60"/>
          </reference>
          <reference field="5" count="1" selected="0">
            <x v="0"/>
          </reference>
          <reference field="7" count="1">
            <x v="209"/>
          </reference>
          <reference field="10" count="1" selected="0">
            <x v="2"/>
          </reference>
        </references>
      </pivotArea>
    </format>
    <format dxfId="470">
      <pivotArea dataOnly="0" labelOnly="1" outline="0" fieldPosition="0">
        <references count="4">
          <reference field="0" count="1" selected="0">
            <x v="79"/>
          </reference>
          <reference field="5" count="1" selected="0">
            <x v="3"/>
          </reference>
          <reference field="7" count="1">
            <x v="91"/>
          </reference>
          <reference field="10" count="1" selected="0">
            <x v="2"/>
          </reference>
        </references>
      </pivotArea>
    </format>
    <format dxfId="471">
      <pivotArea dataOnly="0" labelOnly="1" outline="0" fieldPosition="0">
        <references count="4">
          <reference field="0" count="1" selected="0">
            <x v="86"/>
          </reference>
          <reference field="5" count="1" selected="0">
            <x v="4"/>
          </reference>
          <reference field="7" count="1">
            <x v="21"/>
          </reference>
          <reference field="10" count="1" selected="0">
            <x v="2"/>
          </reference>
        </references>
      </pivotArea>
    </format>
    <format dxfId="472">
      <pivotArea dataOnly="0" labelOnly="1" outline="0" fieldPosition="0">
        <references count="4">
          <reference field="0" count="1" selected="0">
            <x v="89"/>
          </reference>
          <reference field="5" count="1" selected="0">
            <x v="2"/>
          </reference>
          <reference field="7" count="1">
            <x v="237"/>
          </reference>
          <reference field="10" count="1" selected="0">
            <x v="0"/>
          </reference>
        </references>
      </pivotArea>
    </format>
    <format dxfId="473">
      <pivotArea dataOnly="0" labelOnly="1" outline="0" fieldPosition="0">
        <references count="4">
          <reference field="0" count="1" selected="0">
            <x v="99"/>
          </reference>
          <reference field="5" count="1" selected="0">
            <x v="0"/>
          </reference>
          <reference field="7" count="1">
            <x v="199"/>
          </reference>
          <reference field="10" count="1" selected="0">
            <x v="2"/>
          </reference>
        </references>
      </pivotArea>
    </format>
    <format dxfId="474">
      <pivotArea dataOnly="0" labelOnly="1" outline="0" fieldPosition="0">
        <references count="4">
          <reference field="0" count="1" selected="0">
            <x v="105"/>
          </reference>
          <reference field="5" count="1" selected="0">
            <x v="4"/>
          </reference>
          <reference field="7" count="1">
            <x v="116"/>
          </reference>
          <reference field="10" count="1" selected="0">
            <x v="0"/>
          </reference>
        </references>
      </pivotArea>
    </format>
    <format dxfId="475">
      <pivotArea dataOnly="0" labelOnly="1" outline="0" fieldPosition="0">
        <references count="4">
          <reference field="0" count="1" selected="0">
            <x v="106"/>
          </reference>
          <reference field="5" count="1" selected="0">
            <x v="3"/>
          </reference>
          <reference field="7" count="1">
            <x v="372"/>
          </reference>
          <reference field="10" count="1" selected="0">
            <x v="2"/>
          </reference>
        </references>
      </pivotArea>
    </format>
    <format dxfId="476">
      <pivotArea dataOnly="0" labelOnly="1" outline="0" fieldPosition="0">
        <references count="4">
          <reference field="0" count="1" selected="0">
            <x v="115"/>
          </reference>
          <reference field="5" count="1" selected="0">
            <x v="1"/>
          </reference>
          <reference field="7" count="1">
            <x v="260"/>
          </reference>
          <reference field="10" count="1" selected="0">
            <x v="0"/>
          </reference>
        </references>
      </pivotArea>
    </format>
    <format dxfId="477">
      <pivotArea dataOnly="0" labelOnly="1" outline="0" fieldPosition="0">
        <references count="4">
          <reference field="0" count="1" selected="0">
            <x v="118"/>
          </reference>
          <reference field="5" count="1" selected="0">
            <x v="1"/>
          </reference>
          <reference field="7" count="1">
            <x v="84"/>
          </reference>
          <reference field="10" count="1" selected="0">
            <x v="2"/>
          </reference>
        </references>
      </pivotArea>
    </format>
    <format dxfId="478">
      <pivotArea dataOnly="0" labelOnly="1" outline="0" fieldPosition="0">
        <references count="4">
          <reference field="0" count="1" selected="0">
            <x v="131"/>
          </reference>
          <reference field="5" count="1" selected="0">
            <x v="3"/>
          </reference>
          <reference field="7" count="1">
            <x v="126"/>
          </reference>
          <reference field="10" count="1" selected="0">
            <x v="0"/>
          </reference>
        </references>
      </pivotArea>
    </format>
    <format dxfId="479">
      <pivotArea dataOnly="0" labelOnly="1" outline="0" fieldPosition="0">
        <references count="4">
          <reference field="0" count="1" selected="0">
            <x v="136"/>
          </reference>
          <reference field="5" count="1" selected="0">
            <x v="1"/>
          </reference>
          <reference field="7" count="1">
            <x v="261"/>
          </reference>
          <reference field="10" count="1" selected="0">
            <x v="2"/>
          </reference>
        </references>
      </pivotArea>
    </format>
    <format dxfId="480">
      <pivotArea dataOnly="0" labelOnly="1" outline="0" fieldPosition="0">
        <references count="4">
          <reference field="0" count="1" selected="0">
            <x v="139"/>
          </reference>
          <reference field="5" count="1" selected="0">
            <x v="2"/>
          </reference>
          <reference field="7" count="1">
            <x v="150"/>
          </reference>
          <reference field="10" count="1" selected="0">
            <x v="0"/>
          </reference>
        </references>
      </pivotArea>
    </format>
    <format dxfId="481">
      <pivotArea dataOnly="0" labelOnly="1" outline="0" fieldPosition="0">
        <references count="4">
          <reference field="0" count="1" selected="0">
            <x v="142"/>
          </reference>
          <reference field="5" count="1" selected="0">
            <x v="0"/>
          </reference>
          <reference field="7" count="1">
            <x v="180"/>
          </reference>
          <reference field="10" count="1" selected="0">
            <x v="2"/>
          </reference>
        </references>
      </pivotArea>
    </format>
    <format dxfId="482">
      <pivotArea dataOnly="0" labelOnly="1" outline="0" fieldPosition="0">
        <references count="4">
          <reference field="0" count="1" selected="0">
            <x v="147"/>
          </reference>
          <reference field="5" count="1" selected="0">
            <x v="0"/>
          </reference>
          <reference field="7" count="1">
            <x v="278"/>
          </reference>
          <reference field="10" count="1" selected="0">
            <x v="0"/>
          </reference>
        </references>
      </pivotArea>
    </format>
    <format dxfId="483">
      <pivotArea dataOnly="0" labelOnly="1" outline="0" fieldPosition="0">
        <references count="4">
          <reference field="0" count="1" selected="0">
            <x v="153"/>
          </reference>
          <reference field="5" count="1" selected="0">
            <x v="6"/>
          </reference>
          <reference field="7" count="1">
            <x v="254"/>
          </reference>
          <reference field="10" count="1" selected="0">
            <x v="0"/>
          </reference>
        </references>
      </pivotArea>
    </format>
    <format dxfId="484">
      <pivotArea dataOnly="0" labelOnly="1" outline="0" fieldPosition="0">
        <references count="4">
          <reference field="0" count="1" selected="0">
            <x v="156"/>
          </reference>
          <reference field="5" count="1" selected="0">
            <x v="4"/>
          </reference>
          <reference field="7" count="1">
            <x v="286"/>
          </reference>
          <reference field="10" count="1" selected="0">
            <x v="2"/>
          </reference>
        </references>
      </pivotArea>
    </format>
    <format dxfId="485">
      <pivotArea dataOnly="0" labelOnly="1" outline="0" fieldPosition="0">
        <references count="4">
          <reference field="0" count="1" selected="0">
            <x v="158"/>
          </reference>
          <reference field="5" count="1" selected="0">
            <x v="4"/>
          </reference>
          <reference field="7" count="1">
            <x v="240"/>
          </reference>
          <reference field="10" count="1" selected="0">
            <x v="2"/>
          </reference>
        </references>
      </pivotArea>
    </format>
    <format dxfId="486">
      <pivotArea dataOnly="0" labelOnly="1" outline="0" fieldPosition="0">
        <references count="4">
          <reference field="0" count="1" selected="0">
            <x v="160"/>
          </reference>
          <reference field="5" count="1" selected="0">
            <x v="4"/>
          </reference>
          <reference field="7" count="1">
            <x v="198"/>
          </reference>
          <reference field="10" count="1" selected="0">
            <x v="0"/>
          </reference>
        </references>
      </pivotArea>
    </format>
    <format dxfId="487">
      <pivotArea dataOnly="0" labelOnly="1" outline="0" fieldPosition="0">
        <references count="4">
          <reference field="0" count="1" selected="0">
            <x v="162"/>
          </reference>
          <reference field="5" count="1" selected="0">
            <x v="1"/>
          </reference>
          <reference field="7" count="1">
            <x v="264"/>
          </reference>
          <reference field="10" count="1" selected="0">
            <x v="2"/>
          </reference>
        </references>
      </pivotArea>
    </format>
    <format dxfId="488">
      <pivotArea dataOnly="0" labelOnly="1" outline="0" fieldPosition="0">
        <references count="4">
          <reference field="0" count="1" selected="0">
            <x v="170"/>
          </reference>
          <reference field="5" count="1" selected="0">
            <x v="3"/>
          </reference>
          <reference field="7" count="1">
            <x v="280"/>
          </reference>
          <reference field="10" count="1" selected="0">
            <x v="1"/>
          </reference>
        </references>
      </pivotArea>
    </format>
    <format dxfId="489">
      <pivotArea dataOnly="0" labelOnly="1" outline="0" fieldPosition="0">
        <references count="4">
          <reference field="0" count="1" selected="0">
            <x v="192"/>
          </reference>
          <reference field="5" count="1" selected="0">
            <x v="4"/>
          </reference>
          <reference field="7" count="1">
            <x v="212"/>
          </reference>
          <reference field="10" count="1" selected="0">
            <x v="1"/>
          </reference>
        </references>
      </pivotArea>
    </format>
    <format dxfId="490">
      <pivotArea dataOnly="0" labelOnly="1" outline="0" fieldPosition="0">
        <references count="4">
          <reference field="0" count="1" selected="0">
            <x v="193"/>
          </reference>
          <reference field="5" count="1" selected="0">
            <x v="4"/>
          </reference>
          <reference field="7" count="1">
            <x v="53"/>
          </reference>
          <reference field="10" count="1" selected="0">
            <x v="1"/>
          </reference>
        </references>
      </pivotArea>
    </format>
    <format dxfId="491">
      <pivotArea dataOnly="0" labelOnly="1" outline="0" fieldPosition="0">
        <references count="4">
          <reference field="0" count="1" selected="0">
            <x v="203"/>
          </reference>
          <reference field="5" count="1" selected="0">
            <x v="3"/>
          </reference>
          <reference field="7" count="1">
            <x v="272"/>
          </reference>
          <reference field="10" count="1" selected="0">
            <x v="1"/>
          </reference>
        </references>
      </pivotArea>
    </format>
    <format dxfId="492">
      <pivotArea dataOnly="0" labelOnly="1" outline="0" fieldPosition="0">
        <references count="4">
          <reference field="0" count="1" selected="0">
            <x v="215"/>
          </reference>
          <reference field="5" count="1" selected="0">
            <x v="4"/>
          </reference>
          <reference field="7" count="1">
            <x v="133"/>
          </reference>
          <reference field="10" count="1" selected="0">
            <x v="2"/>
          </reference>
        </references>
      </pivotArea>
    </format>
    <format dxfId="493">
      <pivotArea dataOnly="0" labelOnly="1" outline="0" fieldPosition="0">
        <references count="4">
          <reference field="0" count="1" selected="0">
            <x v="219"/>
          </reference>
          <reference field="5" count="1" selected="0">
            <x v="4"/>
          </reference>
          <reference field="7" count="1">
            <x v="356"/>
          </reference>
          <reference field="10" count="1" selected="0">
            <x v="0"/>
          </reference>
        </references>
      </pivotArea>
    </format>
    <format dxfId="494">
      <pivotArea dataOnly="0" labelOnly="1" outline="0" fieldPosition="0">
        <references count="4">
          <reference field="0" count="1" selected="0">
            <x v="222"/>
          </reference>
          <reference field="5" count="1" selected="0">
            <x v="3"/>
          </reference>
          <reference field="7" count="1">
            <x v="301"/>
          </reference>
          <reference field="10" count="1" selected="0">
            <x v="2"/>
          </reference>
        </references>
      </pivotArea>
    </format>
    <format dxfId="495">
      <pivotArea dataOnly="0" labelOnly="1" outline="0" fieldPosition="0">
        <references count="4">
          <reference field="0" count="1" selected="0">
            <x v="226"/>
          </reference>
          <reference field="5" count="1" selected="0">
            <x v="4"/>
          </reference>
          <reference field="7" count="1">
            <x v="199"/>
          </reference>
          <reference field="10" count="1" selected="0">
            <x v="0"/>
          </reference>
        </references>
      </pivotArea>
    </format>
    <format dxfId="496">
      <pivotArea dataOnly="0" labelOnly="1" outline="0" fieldPosition="0">
        <references count="4">
          <reference field="0" count="1" selected="0">
            <x v="231"/>
          </reference>
          <reference field="5" count="1" selected="0">
            <x v="3"/>
          </reference>
          <reference field="7" count="1">
            <x v="120"/>
          </reference>
          <reference field="10" count="1" selected="0">
            <x v="2"/>
          </reference>
        </references>
      </pivotArea>
    </format>
    <format dxfId="497">
      <pivotArea dataOnly="0" labelOnly="1" outline="0" fieldPosition="0">
        <references count="4">
          <reference field="0" count="1" selected="0">
            <x v="237"/>
          </reference>
          <reference field="5" count="1" selected="0">
            <x v="4"/>
          </reference>
          <reference field="7" count="1">
            <x v="86"/>
          </reference>
          <reference field="10" count="1" selected="0">
            <x v="2"/>
          </reference>
        </references>
      </pivotArea>
    </format>
    <format dxfId="498">
      <pivotArea dataOnly="0" labelOnly="1" outline="0" fieldPosition="0">
        <references count="4">
          <reference field="0" count="1" selected="0">
            <x v="253"/>
          </reference>
          <reference field="5" count="1" selected="0">
            <x v="4"/>
          </reference>
          <reference field="7" count="1">
            <x v="207"/>
          </reference>
          <reference field="10" count="1" selected="0">
            <x v="0"/>
          </reference>
        </references>
      </pivotArea>
    </format>
    <format dxfId="499">
      <pivotArea dataOnly="0" labelOnly="1" outline="0" fieldPosition="0">
        <references count="4">
          <reference field="0" count="1" selected="0">
            <x v="260"/>
          </reference>
          <reference field="5" count="1" selected="0">
            <x v="0"/>
          </reference>
          <reference field="7" count="1">
            <x v="127"/>
          </reference>
          <reference field="10" count="1" selected="0">
            <x v="0"/>
          </reference>
        </references>
      </pivotArea>
    </format>
    <format dxfId="500">
      <pivotArea dataOnly="0" labelOnly="1" outline="0" fieldPosition="0">
        <references count="4">
          <reference field="0" count="1" selected="0">
            <x v="264"/>
          </reference>
          <reference field="5" count="1" selected="0">
            <x v="1"/>
          </reference>
          <reference field="7" count="1">
            <x v="258"/>
          </reference>
          <reference field="10" count="1" selected="0">
            <x v="1"/>
          </reference>
        </references>
      </pivotArea>
    </format>
    <format dxfId="501">
      <pivotArea dataOnly="0" labelOnly="1" outline="0" fieldPosition="0">
        <references count="4">
          <reference field="0" count="1" selected="0">
            <x v="273"/>
          </reference>
          <reference field="5" count="1" selected="0">
            <x v="4"/>
          </reference>
          <reference field="7" count="1">
            <x v="342"/>
          </reference>
          <reference field="10" count="1" selected="0">
            <x v="0"/>
          </reference>
        </references>
      </pivotArea>
    </format>
    <format dxfId="502">
      <pivotArea dataOnly="0" labelOnly="1" outline="0" fieldPosition="0">
        <references count="4">
          <reference field="0" count="1" selected="0">
            <x v="276"/>
          </reference>
          <reference field="5" count="1" selected="0">
            <x v="5"/>
          </reference>
          <reference field="7" count="1">
            <x v="183"/>
          </reference>
          <reference field="10" count="1" selected="0">
            <x v="1"/>
          </reference>
        </references>
      </pivotArea>
    </format>
    <format dxfId="503">
      <pivotArea dataOnly="0" labelOnly="1" outline="0" fieldPosition="0">
        <references count="4">
          <reference field="0" count="1" selected="0">
            <x v="279"/>
          </reference>
          <reference field="5" count="1" selected="0">
            <x v="1"/>
          </reference>
          <reference field="7" count="1">
            <x v="204"/>
          </reference>
          <reference field="10" count="1" selected="0">
            <x v="0"/>
          </reference>
        </references>
      </pivotArea>
    </format>
    <format dxfId="504">
      <pivotArea dataOnly="0" labelOnly="1" outline="0" fieldPosition="0">
        <references count="4">
          <reference field="0" count="1" selected="0">
            <x v="280"/>
          </reference>
          <reference field="5" count="1" selected="0">
            <x v="4"/>
          </reference>
          <reference field="7" count="1">
            <x v="87"/>
          </reference>
          <reference field="10" count="1" selected="0">
            <x v="2"/>
          </reference>
        </references>
      </pivotArea>
    </format>
    <format dxfId="505">
      <pivotArea dataOnly="0" labelOnly="1" outline="0" fieldPosition="0">
        <references count="4">
          <reference field="0" count="1" selected="0">
            <x v="281"/>
          </reference>
          <reference field="5" count="1" selected="0">
            <x v="4"/>
          </reference>
          <reference field="7" count="1">
            <x v="243"/>
          </reference>
          <reference field="10" count="1" selected="0">
            <x v="0"/>
          </reference>
        </references>
      </pivotArea>
    </format>
    <format dxfId="506">
      <pivotArea dataOnly="0" labelOnly="1" outline="0" fieldPosition="0">
        <references count="4">
          <reference field="0" count="1" selected="0">
            <x v="288"/>
          </reference>
          <reference field="5" count="1" selected="0">
            <x v="2"/>
          </reference>
          <reference field="7" count="1">
            <x v="337"/>
          </reference>
          <reference field="10" count="1" selected="0">
            <x v="2"/>
          </reference>
        </references>
      </pivotArea>
    </format>
    <format dxfId="507">
      <pivotArea dataOnly="0" labelOnly="1" outline="0" fieldPosition="0">
        <references count="4">
          <reference field="0" count="1" selected="0">
            <x v="295"/>
          </reference>
          <reference field="5" count="1" selected="0">
            <x v="1"/>
          </reference>
          <reference field="7" count="1">
            <x v="256"/>
          </reference>
          <reference field="10" count="1" selected="0">
            <x v="2"/>
          </reference>
        </references>
      </pivotArea>
    </format>
    <format dxfId="508">
      <pivotArea dataOnly="0" labelOnly="1" outline="0" fieldPosition="0">
        <references count="4">
          <reference field="0" count="1" selected="0">
            <x v="303"/>
          </reference>
          <reference field="5" count="1" selected="0">
            <x v="4"/>
          </reference>
          <reference field="7" count="1">
            <x v="94"/>
          </reference>
          <reference field="10" count="1" selected="0">
            <x v="0"/>
          </reference>
        </references>
      </pivotArea>
    </format>
    <format dxfId="509">
      <pivotArea dataOnly="0" labelOnly="1" outline="0" fieldPosition="0">
        <references count="4">
          <reference field="0" count="1" selected="0">
            <x v="304"/>
          </reference>
          <reference field="5" count="1" selected="0">
            <x v="3"/>
          </reference>
          <reference field="7" count="1">
            <x v="208"/>
          </reference>
          <reference field="10" count="1" selected="0">
            <x v="2"/>
          </reference>
        </references>
      </pivotArea>
    </format>
    <format dxfId="510">
      <pivotArea dataOnly="0" labelOnly="1" outline="0" fieldPosition="0">
        <references count="4">
          <reference field="0" count="1" selected="0">
            <x v="307"/>
          </reference>
          <reference field="5" count="1" selected="0">
            <x v="1"/>
          </reference>
          <reference field="7" count="1">
            <x v="99"/>
          </reference>
          <reference field="10" count="1" selected="0">
            <x v="2"/>
          </reference>
        </references>
      </pivotArea>
    </format>
    <format dxfId="511">
      <pivotArea dataOnly="0" labelOnly="1" outline="0" fieldPosition="0">
        <references count="4">
          <reference field="0" count="1" selected="0">
            <x v="318"/>
          </reference>
          <reference field="5" count="1" selected="0">
            <x v="1"/>
          </reference>
          <reference field="7" count="1">
            <x v="193"/>
          </reference>
          <reference field="10" count="1" selected="0">
            <x v="2"/>
          </reference>
        </references>
      </pivotArea>
    </format>
    <format dxfId="512">
      <pivotArea dataOnly="0" labelOnly="1" outline="0" fieldPosition="0">
        <references count="4">
          <reference field="0" count="1" selected="0">
            <x v="327"/>
          </reference>
          <reference field="5" count="1" selected="0">
            <x v="4"/>
          </reference>
          <reference field="7" count="1">
            <x v="224"/>
          </reference>
          <reference field="10" count="1" selected="0">
            <x v="2"/>
          </reference>
        </references>
      </pivotArea>
    </format>
    <format dxfId="513">
      <pivotArea dataOnly="0" labelOnly="1" outline="0" fieldPosition="0">
        <references count="4">
          <reference field="0" count="1" selected="0">
            <x v="333"/>
          </reference>
          <reference field="5" count="1" selected="0">
            <x v="0"/>
          </reference>
          <reference field="7" count="1">
            <x v="35"/>
          </reference>
          <reference field="10" count="1" selected="0">
            <x v="2"/>
          </reference>
        </references>
      </pivotArea>
    </format>
    <format dxfId="514">
      <pivotArea dataOnly="0" labelOnly="1" outline="0" fieldPosition="0">
        <references count="4">
          <reference field="0" count="1" selected="0">
            <x v="341"/>
          </reference>
          <reference field="5" count="1" selected="0">
            <x v="4"/>
          </reference>
          <reference field="7" count="1">
            <x v="226"/>
          </reference>
          <reference field="10" count="1" selected="0">
            <x v="0"/>
          </reference>
        </references>
      </pivotArea>
    </format>
    <format dxfId="515">
      <pivotArea dataOnly="0" labelOnly="1" outline="0" fieldPosition="0">
        <references count="4">
          <reference field="0" count="1" selected="0">
            <x v="358"/>
          </reference>
          <reference field="5" count="1" selected="0">
            <x v="6"/>
          </reference>
          <reference field="7" count="1">
            <x v="227"/>
          </reference>
          <reference field="10" count="1" selected="0">
            <x v="0"/>
          </reference>
        </references>
      </pivotArea>
    </format>
    <format dxfId="516">
      <pivotArea dataOnly="0" labelOnly="1" outline="0" fieldPosition="0">
        <references count="4">
          <reference field="0" count="1" selected="0">
            <x v="366"/>
          </reference>
          <reference field="5" count="1" selected="0">
            <x v="4"/>
          </reference>
          <reference field="7" count="1">
            <x v="100"/>
          </reference>
          <reference field="10" count="1" selected="0">
            <x v="2"/>
          </reference>
        </references>
      </pivotArea>
    </format>
    <format dxfId="517">
      <pivotArea dataOnly="0" labelOnly="1" outline="0" fieldPosition="0">
        <references count="4">
          <reference field="0" count="1" selected="0">
            <x v="369"/>
          </reference>
          <reference field="5" count="1" selected="0">
            <x v="3"/>
          </reference>
          <reference field="7" count="1">
            <x v="46"/>
          </reference>
          <reference field="10" count="1" selected="0">
            <x v="2"/>
          </reference>
        </references>
      </pivotArea>
    </format>
    <format dxfId="518">
      <pivotArea dataOnly="0" labelOnly="1" outline="0" fieldPosition="0">
        <references count="4">
          <reference field="0" count="1" selected="0">
            <x v="373"/>
          </reference>
          <reference field="5" count="1" selected="0">
            <x v="4"/>
          </reference>
          <reference field="7" count="1">
            <x v="4"/>
          </reference>
          <reference field="10" count="1" selected="0">
            <x v="0"/>
          </reference>
        </references>
      </pivotArea>
    </format>
    <format dxfId="519">
      <pivotArea dataOnly="0" labelOnly="1" outline="0" fieldPosition="0">
        <references count="4">
          <reference field="0" count="1" selected="0">
            <x v="375"/>
          </reference>
          <reference field="5" count="1" selected="0">
            <x v="4"/>
          </reference>
          <reference field="7" count="1">
            <x v="94"/>
          </reference>
          <reference field="10" count="1" selected="0">
            <x v="0"/>
          </reference>
        </references>
      </pivotArea>
    </format>
    <format dxfId="520">
      <pivotArea dataOnly="0" labelOnly="1" outline="0" fieldPosition="0">
        <references count="4">
          <reference field="0" count="1" selected="0">
            <x v="380"/>
          </reference>
          <reference field="5" count="1" selected="0">
            <x v="5"/>
          </reference>
          <reference field="7" count="1">
            <x v="84"/>
          </reference>
          <reference field="10" count="1" selected="0">
            <x v="2"/>
          </reference>
        </references>
      </pivotArea>
    </format>
    <format dxfId="521">
      <pivotArea dataOnly="0" labelOnly="1" outline="0" fieldPosition="0">
        <references count="4">
          <reference field="0" count="1" selected="0">
            <x v="382"/>
          </reference>
          <reference field="5" count="1" selected="0">
            <x v="0"/>
          </reference>
          <reference field="7" count="1">
            <x v="220"/>
          </reference>
          <reference field="10" count="1" selected="0">
            <x v="2"/>
          </reference>
        </references>
      </pivotArea>
    </format>
    <format dxfId="522">
      <pivotArea dataOnly="0" labelOnly="1" outline="0" fieldPosition="0">
        <references count="4">
          <reference field="0" count="1" selected="0">
            <x v="387"/>
          </reference>
          <reference field="5" count="1" selected="0">
            <x v="4"/>
          </reference>
          <reference field="7" count="1">
            <x v="375"/>
          </reference>
          <reference field="10" count="1" selected="0">
            <x v="2"/>
          </reference>
        </references>
      </pivotArea>
    </format>
    <format dxfId="523">
      <pivotArea dataOnly="0" labelOnly="1" outline="0" fieldPosition="0">
        <references count="4">
          <reference field="0" count="1" selected="0">
            <x v="388"/>
          </reference>
          <reference field="5" count="1" selected="0">
            <x v="4"/>
          </reference>
          <reference field="7" count="1">
            <x v="266"/>
          </reference>
          <reference field="10" count="1" selected="0">
            <x v="1"/>
          </reference>
        </references>
      </pivotArea>
    </format>
    <format dxfId="524">
      <pivotArea dataOnly="0" labelOnly="1" outline="0" fieldPosition="0">
        <references count="4">
          <reference field="0" count="1" selected="0">
            <x v="398"/>
          </reference>
          <reference field="5" count="1" selected="0">
            <x v="4"/>
          </reference>
          <reference field="7" count="1">
            <x v="321"/>
          </reference>
          <reference field="10" count="1" selected="0">
            <x v="1"/>
          </reference>
        </references>
      </pivotArea>
    </format>
    <format dxfId="525">
      <pivotArea dataOnly="0" labelOnly="1" outline="0" fieldPosition="0">
        <references count="4">
          <reference field="0" count="1" selected="0">
            <x v="407"/>
          </reference>
          <reference field="5" count="1" selected="0">
            <x v="6"/>
          </reference>
          <reference field="7" count="1">
            <x v="56"/>
          </reference>
          <reference field="10" count="1" selected="0">
            <x v="2"/>
          </reference>
        </references>
      </pivotArea>
    </format>
    <format dxfId="526">
      <pivotArea dataOnly="0" labelOnly="1" outline="0" fieldPosition="0">
        <references count="4">
          <reference field="0" count="1" selected="0">
            <x v="429"/>
          </reference>
          <reference field="5" count="1" selected="0">
            <x v="4"/>
          </reference>
          <reference field="7" count="1">
            <x v="210"/>
          </reference>
          <reference field="10" count="1" selected="0">
            <x v="0"/>
          </reference>
        </references>
      </pivotArea>
    </format>
    <format dxfId="527">
      <pivotArea dataOnly="0" labelOnly="1" outline="0" fieldPosition="0">
        <references count="4">
          <reference field="0" count="1" selected="0">
            <x v="431"/>
          </reference>
          <reference field="5" count="1" selected="0">
            <x v="2"/>
          </reference>
          <reference field="7" count="1">
            <x v="105"/>
          </reference>
          <reference field="10" count="1" selected="0">
            <x v="2"/>
          </reference>
        </references>
      </pivotArea>
    </format>
    <format dxfId="528">
      <pivotArea dataOnly="0" labelOnly="1" outline="0" fieldPosition="0">
        <references count="4">
          <reference field="0" count="1" selected="0">
            <x v="434"/>
          </reference>
          <reference field="5" count="1" selected="0">
            <x v="4"/>
          </reference>
          <reference field="7" count="1">
            <x v="260"/>
          </reference>
          <reference field="10" count="1" selected="0">
            <x v="0"/>
          </reference>
        </references>
      </pivotArea>
    </format>
    <format dxfId="529">
      <pivotArea dataOnly="0" labelOnly="1" outline="0" fieldPosition="0">
        <references count="4">
          <reference field="0" count="1" selected="0">
            <x v="438"/>
          </reference>
          <reference field="5" count="1" selected="0">
            <x v="6"/>
          </reference>
          <reference field="7" count="1">
            <x v="50"/>
          </reference>
          <reference field="10" count="1" selected="0">
            <x v="0"/>
          </reference>
        </references>
      </pivotArea>
    </format>
    <format dxfId="530">
      <pivotArea dataOnly="0" labelOnly="1" outline="0" fieldPosition="0">
        <references count="4">
          <reference field="0" count="1" selected="0">
            <x v="440"/>
          </reference>
          <reference field="5" count="1" selected="0">
            <x v="4"/>
          </reference>
          <reference field="7" count="1">
            <x v="183"/>
          </reference>
          <reference field="10" count="1" selected="0">
            <x v="0"/>
          </reference>
        </references>
      </pivotArea>
    </format>
    <format dxfId="531">
      <pivotArea dataOnly="0" labelOnly="1" outline="0" fieldPosition="0">
        <references count="4">
          <reference field="0" count="1" selected="0">
            <x v="448"/>
          </reference>
          <reference field="5" count="1" selected="0">
            <x v="4"/>
          </reference>
          <reference field="7" count="1">
            <x v="329"/>
          </reference>
          <reference field="10" count="1" selected="0">
            <x v="1"/>
          </reference>
        </references>
      </pivotArea>
    </format>
    <format dxfId="532">
      <pivotArea dataOnly="0" labelOnly="1" outline="0" fieldPosition="0">
        <references count="4">
          <reference field="0" count="1" selected="0">
            <x v="449"/>
          </reference>
          <reference field="5" count="1" selected="0">
            <x v="4"/>
          </reference>
          <reference field="7" count="1">
            <x v="240"/>
          </reference>
          <reference field="10" count="1" selected="0">
            <x v="2"/>
          </reference>
        </references>
      </pivotArea>
    </format>
    <format dxfId="533">
      <pivotArea dataOnly="0" labelOnly="1" outline="0" fieldPosition="0">
        <references count="4">
          <reference field="0" count="1" selected="0">
            <x v="451"/>
          </reference>
          <reference field="5" count="1" selected="0">
            <x v="4"/>
          </reference>
          <reference field="7" count="1">
            <x v="256"/>
          </reference>
          <reference field="10" count="1" selected="0">
            <x v="0"/>
          </reference>
        </references>
      </pivotArea>
    </format>
    <format dxfId="534">
      <pivotArea dataOnly="0" labelOnly="1" outline="0" fieldPosition="0">
        <references count="4">
          <reference field="0" count="1" selected="0">
            <x v="452"/>
          </reference>
          <reference field="5" count="1" selected="0">
            <x v="1"/>
          </reference>
          <reference field="7" count="1">
            <x v="157"/>
          </reference>
          <reference field="10" count="1" selected="0">
            <x v="2"/>
          </reference>
        </references>
      </pivotArea>
    </format>
    <format dxfId="535">
      <pivotArea dataOnly="0" labelOnly="1" outline="0" fieldPosition="0">
        <references count="4">
          <reference field="0" count="1" selected="0">
            <x v="458"/>
          </reference>
          <reference field="5" count="1" selected="0">
            <x v="4"/>
          </reference>
          <reference field="7" count="1">
            <x v="110"/>
          </reference>
          <reference field="10" count="1" selected="0">
            <x v="2"/>
          </reference>
        </references>
      </pivotArea>
    </format>
    <format dxfId="536">
      <pivotArea dataOnly="0" labelOnly="1" outline="0" fieldPosition="0">
        <references count="4">
          <reference field="0" count="1" selected="0">
            <x v="461"/>
          </reference>
          <reference field="5" count="1" selected="0">
            <x v="4"/>
          </reference>
          <reference field="7" count="1">
            <x v="249"/>
          </reference>
          <reference field="10" count="1" selected="0">
            <x v="2"/>
          </reference>
        </references>
      </pivotArea>
    </format>
    <format dxfId="537">
      <pivotArea dataOnly="0" labelOnly="1" outline="0" fieldPosition="0">
        <references count="4">
          <reference field="0" count="1" selected="0">
            <x v="463"/>
          </reference>
          <reference field="5" count="1" selected="0">
            <x v="0"/>
          </reference>
          <reference field="7" count="1">
            <x v="147"/>
          </reference>
          <reference field="10" count="1" selected="0">
            <x v="2"/>
          </reference>
        </references>
      </pivotArea>
    </format>
    <format dxfId="538">
      <pivotArea dataOnly="0" labelOnly="1" outline="0" fieldPosition="0">
        <references count="4">
          <reference field="0" count="1" selected="0">
            <x v="466"/>
          </reference>
          <reference field="5" count="1" selected="0">
            <x v="4"/>
          </reference>
          <reference field="7" count="1">
            <x v="140"/>
          </reference>
          <reference field="10" count="1" selected="0">
            <x v="2"/>
          </reference>
        </references>
      </pivotArea>
    </format>
    <format dxfId="539">
      <pivotArea dataOnly="0" labelOnly="1" outline="0" fieldPosition="0">
        <references count="4">
          <reference field="0" count="1" selected="0">
            <x v="467"/>
          </reference>
          <reference field="5" count="1" selected="0">
            <x v="1"/>
          </reference>
          <reference field="7" count="1">
            <x v="94"/>
          </reference>
          <reference field="10" count="1" selected="0">
            <x v="0"/>
          </reference>
        </references>
      </pivotArea>
    </format>
    <format dxfId="540">
      <pivotArea dataOnly="0" labelOnly="1" outline="0" fieldPosition="0">
        <references count="4">
          <reference field="0" count="1" selected="0">
            <x v="473"/>
          </reference>
          <reference field="5" count="1" selected="0">
            <x v="1"/>
          </reference>
          <reference field="7" count="1">
            <x v="312"/>
          </reference>
          <reference field="10" count="1" selected="0">
            <x v="2"/>
          </reference>
        </references>
      </pivotArea>
    </format>
    <format dxfId="541">
      <pivotArea dataOnly="0" labelOnly="1" outline="0" fieldPosition="0">
        <references count="4">
          <reference field="0" count="1" selected="0">
            <x v="482"/>
          </reference>
          <reference field="5" count="1" selected="0">
            <x v="4"/>
          </reference>
          <reference field="7" count="1">
            <x v="184"/>
          </reference>
          <reference field="10" count="1" selected="0">
            <x v="0"/>
          </reference>
        </references>
      </pivotArea>
    </format>
    <format dxfId="542">
      <pivotArea dataOnly="0" labelOnly="1" outline="0" fieldPosition="0">
        <references count="4">
          <reference field="0" count="1" selected="0">
            <x v="487"/>
          </reference>
          <reference field="5" count="1" selected="0">
            <x v="3"/>
          </reference>
          <reference field="7" count="1">
            <x v="193"/>
          </reference>
          <reference field="10" count="1" selected="0">
            <x v="1"/>
          </reference>
        </references>
      </pivotArea>
    </format>
    <format dxfId="543">
      <pivotArea dataOnly="0" labelOnly="1" outline="0" fieldPosition="0">
        <references count="4">
          <reference field="0" count="1" selected="0">
            <x v="489"/>
          </reference>
          <reference field="5" count="1" selected="0">
            <x v="4"/>
          </reference>
          <reference field="7" count="1">
            <x v="333"/>
          </reference>
          <reference field="10" count="1" selected="0">
            <x v="1"/>
          </reference>
        </references>
      </pivotArea>
    </format>
    <format dxfId="544">
      <pivotArea dataOnly="0" labelOnly="1" outline="0" fieldPosition="0">
        <references count="4">
          <reference field="0" count="1" selected="0">
            <x v="495"/>
          </reference>
          <reference field="5" count="1" selected="0">
            <x v="4"/>
          </reference>
          <reference field="7" count="1">
            <x v="332"/>
          </reference>
          <reference field="10" count="1" selected="0">
            <x v="1"/>
          </reference>
        </references>
      </pivotArea>
    </format>
    <format dxfId="545">
      <pivotArea dataOnly="0" labelOnly="1" outline="0" fieldPosition="0">
        <references count="4">
          <reference field="0" count="1" selected="0">
            <x v="497"/>
          </reference>
          <reference field="5" count="1" selected="0">
            <x v="4"/>
          </reference>
          <reference field="7" count="1">
            <x v="152"/>
          </reference>
          <reference field="10" count="1" selected="0">
            <x v="2"/>
          </reference>
        </references>
      </pivotArea>
    </format>
    <format dxfId="546">
      <pivotArea dataOnly="0" labelOnly="1" outline="0" fieldPosition="0">
        <references count="4">
          <reference field="0" count="1" selected="0">
            <x v="508"/>
          </reference>
          <reference field="5" count="1" selected="0">
            <x v="4"/>
          </reference>
          <reference field="7" count="1">
            <x v="110"/>
          </reference>
          <reference field="10" count="1" selected="0">
            <x v="2"/>
          </reference>
        </references>
      </pivotArea>
    </format>
    <format dxfId="547">
      <pivotArea dataOnly="0" labelOnly="1" outline="0" fieldPosition="0">
        <references count="4">
          <reference field="0" count="1" selected="0">
            <x v="512"/>
          </reference>
          <reference field="5" count="1" selected="0">
            <x v="6"/>
          </reference>
          <reference field="7" count="1">
            <x v="143"/>
          </reference>
          <reference field="10" count="1" selected="0">
            <x v="0"/>
          </reference>
        </references>
      </pivotArea>
    </format>
    <format dxfId="548">
      <pivotArea dataOnly="0" labelOnly="1" outline="0" fieldPosition="0">
        <references count="4">
          <reference field="0" count="1" selected="0">
            <x v="526"/>
          </reference>
          <reference field="5" count="1" selected="0">
            <x v="3"/>
          </reference>
          <reference field="7" count="1">
            <x v="313"/>
          </reference>
          <reference field="10" count="1" selected="0">
            <x v="1"/>
          </reference>
        </references>
      </pivotArea>
    </format>
    <format dxfId="549">
      <pivotArea dataOnly="0" labelOnly="1" outline="0" fieldPosition="0">
        <references count="4">
          <reference field="0" count="1" selected="0">
            <x v="540"/>
          </reference>
          <reference field="5" count="1" selected="0">
            <x v="4"/>
          </reference>
          <reference field="7" count="1">
            <x v="51"/>
          </reference>
          <reference field="10" count="1" selected="0">
            <x v="0"/>
          </reference>
        </references>
      </pivotArea>
    </format>
    <format dxfId="550">
      <pivotArea dataOnly="0" labelOnly="1" outline="0" fieldPosition="0">
        <references count="4">
          <reference field="0" count="1" selected="0">
            <x v="544"/>
          </reference>
          <reference field="5" count="1" selected="0">
            <x v="4"/>
          </reference>
          <reference field="7" count="1">
            <x v="209"/>
          </reference>
          <reference field="10" count="1" selected="0">
            <x v="0"/>
          </reference>
        </references>
      </pivotArea>
    </format>
    <format dxfId="551">
      <pivotArea dataOnly="0" labelOnly="1" outline="0" fieldPosition="0">
        <references count="4">
          <reference field="0" count="1" selected="0">
            <x v="561"/>
          </reference>
          <reference field="5" count="1" selected="0">
            <x v="3"/>
          </reference>
          <reference field="7" count="1">
            <x v="155"/>
          </reference>
          <reference field="10" count="1" selected="0">
            <x v="2"/>
          </reference>
        </references>
      </pivotArea>
    </format>
    <format dxfId="552">
      <pivotArea dataOnly="0" labelOnly="1" outline="0" fieldPosition="0">
        <references count="4">
          <reference field="0" count="1" selected="0">
            <x v="563"/>
          </reference>
          <reference field="5" count="1" selected="0">
            <x v="3"/>
          </reference>
          <reference field="7" count="1">
            <x v="165"/>
          </reference>
          <reference field="10" count="1" selected="0">
            <x v="1"/>
          </reference>
        </references>
      </pivotArea>
    </format>
    <format dxfId="553">
      <pivotArea dataOnly="0" labelOnly="1" outline="0" fieldPosition="0">
        <references count="4">
          <reference field="0" count="1" selected="0">
            <x v="569"/>
          </reference>
          <reference field="5" count="1" selected="0">
            <x v="3"/>
          </reference>
          <reference field="7" count="1">
            <x v="315"/>
          </reference>
          <reference field="10" count="1" selected="0">
            <x v="2"/>
          </reference>
        </references>
      </pivotArea>
    </format>
    <format dxfId="554">
      <pivotArea dataOnly="0" labelOnly="1" outline="0" fieldPosition="0">
        <references count="4">
          <reference field="0" count="1" selected="0">
            <x v="578"/>
          </reference>
          <reference field="5" count="1" selected="0">
            <x v="0"/>
          </reference>
          <reference field="7" count="1">
            <x v="147"/>
          </reference>
          <reference field="10" count="1" selected="0">
            <x v="2"/>
          </reference>
        </references>
      </pivotArea>
    </format>
    <format dxfId="555">
      <pivotArea dataOnly="0" labelOnly="1" outline="0" fieldPosition="0">
        <references count="4">
          <reference field="0" count="1" selected="0">
            <x v="579"/>
          </reference>
          <reference field="5" count="1" selected="0">
            <x v="4"/>
          </reference>
          <reference field="7" count="1">
            <x v="153"/>
          </reference>
          <reference field="10" count="1" selected="0">
            <x v="2"/>
          </reference>
        </references>
      </pivotArea>
    </format>
    <format dxfId="556">
      <pivotArea dataOnly="0" labelOnly="1" outline="0" fieldPosition="0">
        <references count="4">
          <reference field="0" count="1" selected="0">
            <x v="582"/>
          </reference>
          <reference field="5" count="1" selected="0">
            <x v="4"/>
          </reference>
          <reference field="7" count="1">
            <x v="370"/>
          </reference>
          <reference field="10" count="1" selected="0">
            <x v="1"/>
          </reference>
        </references>
      </pivotArea>
    </format>
    <format dxfId="557">
      <pivotArea dataOnly="0" labelOnly="1" outline="0" fieldPosition="0">
        <references count="4">
          <reference field="0" count="1" selected="0">
            <x v="589"/>
          </reference>
          <reference field="5" count="1" selected="0">
            <x v="3"/>
          </reference>
          <reference field="7" count="1">
            <x v="133"/>
          </reference>
          <reference field="10" count="1" selected="0">
            <x v="2"/>
          </reference>
        </references>
      </pivotArea>
    </format>
    <format dxfId="558">
      <pivotArea dataOnly="0" labelOnly="1" outline="0" fieldPosition="0">
        <references count="4">
          <reference field="0" count="1" selected="0">
            <x v="590"/>
          </reference>
          <reference field="5" count="1" selected="0">
            <x v="3"/>
          </reference>
          <reference field="7" count="1">
            <x v="49"/>
          </reference>
          <reference field="10" count="1" selected="0">
            <x v="2"/>
          </reference>
        </references>
      </pivotArea>
    </format>
    <format dxfId="559">
      <pivotArea dataOnly="0" labelOnly="1" outline="0" fieldPosition="0">
        <references count="4">
          <reference field="0" count="1" selected="0">
            <x v="591"/>
          </reference>
          <reference field="5" count="1" selected="0">
            <x v="4"/>
          </reference>
          <reference field="7" count="1">
            <x v="345"/>
          </reference>
          <reference field="10" count="1" selected="0">
            <x v="0"/>
          </reference>
        </references>
      </pivotArea>
    </format>
    <format dxfId="560">
      <pivotArea dataOnly="0" labelOnly="1" outline="0" fieldPosition="0">
        <references count="4">
          <reference field="0" count="1" selected="0">
            <x v="599"/>
          </reference>
          <reference field="5" count="1" selected="0">
            <x v="3"/>
          </reference>
          <reference field="7" count="1">
            <x v="309"/>
          </reference>
          <reference field="10" count="1" selected="0">
            <x v="2"/>
          </reference>
        </references>
      </pivotArea>
    </format>
    <format dxfId="561">
      <pivotArea dataOnly="0" labelOnly="1" outline="0" fieldPosition="0">
        <references count="5">
          <reference field="0" count="1" selected="0">
            <x v="6"/>
          </reference>
          <reference field="5" count="1" selected="0">
            <x v="4"/>
          </reference>
          <reference field="7" count="1" selected="0">
            <x v="144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62">
      <pivotArea dataOnly="0" labelOnly="1" outline="0" fieldPosition="0">
        <references count="5">
          <reference field="0" count="1" selected="0">
            <x v="20"/>
          </reference>
          <reference field="5" count="1" selected="0">
            <x v="4"/>
          </reference>
          <reference field="7" count="1" selected="0">
            <x v="155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563">
      <pivotArea dataOnly="0" labelOnly="1" outline="0" fieldPosition="0">
        <references count="5">
          <reference field="0" count="1" selected="0">
            <x v="22"/>
          </reference>
          <reference field="5" count="1" selected="0">
            <x v="5"/>
          </reference>
          <reference field="7" count="1" selected="0">
            <x v="29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64">
      <pivotArea dataOnly="0" labelOnly="1" outline="0" fieldPosition="0">
        <references count="5">
          <reference field="0" count="1" selected="0">
            <x v="131"/>
          </reference>
          <reference field="5" count="1" selected="0">
            <x v="3"/>
          </reference>
          <reference field="7" count="1" selected="0">
            <x v="126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565">
      <pivotArea dataOnly="0" labelOnly="1" outline="0" fieldPosition="0">
        <references count="5">
          <reference field="0" count="1" selected="0">
            <x v="136"/>
          </reference>
          <reference field="5" count="1" selected="0">
            <x v="1"/>
          </reference>
          <reference field="7" count="1" selected="0">
            <x v="261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66">
      <pivotArea dataOnly="0" labelOnly="1" outline="0" fieldPosition="0">
        <references count="5">
          <reference field="0" count="1" selected="0">
            <x v="158"/>
          </reference>
          <reference field="5" count="1" selected="0">
            <x v="4"/>
          </reference>
          <reference field="7" count="1" selected="0">
            <x v="240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567">
      <pivotArea dataOnly="0" labelOnly="1" outline="0" fieldPosition="0">
        <references count="5">
          <reference field="0" count="1" selected="0">
            <x v="160"/>
          </reference>
          <reference field="5" count="1" selected="0">
            <x v="4"/>
          </reference>
          <reference field="7" count="1" selected="0">
            <x v="198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568">
      <pivotArea dataOnly="0" labelOnly="1" outline="0" fieldPosition="0">
        <references count="5">
          <reference field="0" count="1" selected="0">
            <x v="170"/>
          </reference>
          <reference field="5" count="1" selected="0">
            <x v="3"/>
          </reference>
          <reference field="7" count="1" selected="0">
            <x v="280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569">
      <pivotArea dataOnly="0" labelOnly="1" outline="0" fieldPosition="0">
        <references count="5">
          <reference field="0" count="1" selected="0">
            <x v="203"/>
          </reference>
          <reference field="5" count="1" selected="0">
            <x v="3"/>
          </reference>
          <reference field="7" count="1" selected="0">
            <x v="272"/>
          </reference>
          <reference field="8" count="1">
            <x v="0"/>
          </reference>
          <reference field="10" count="1" selected="0">
            <x v="1"/>
          </reference>
        </references>
      </pivotArea>
    </format>
    <format dxfId="570">
      <pivotArea dataOnly="0" labelOnly="1" outline="0" fieldPosition="0">
        <references count="5">
          <reference field="0" count="1" selected="0">
            <x v="219"/>
          </reference>
          <reference field="5" count="1" selected="0">
            <x v="4"/>
          </reference>
          <reference field="7" count="1" selected="0">
            <x v="356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571">
      <pivotArea dataOnly="0" labelOnly="1" outline="0" fieldPosition="0">
        <references count="5">
          <reference field="0" count="1" selected="0">
            <x v="222"/>
          </reference>
          <reference field="5" count="1" selected="0">
            <x v="3"/>
          </reference>
          <reference field="7" count="1" selected="0">
            <x v="301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72">
      <pivotArea dataOnly="0" labelOnly="1" outline="0" fieldPosition="0">
        <references count="5">
          <reference field="0" count="1" selected="0">
            <x v="226"/>
          </reference>
          <reference field="5" count="1" selected="0">
            <x v="4"/>
          </reference>
          <reference field="7" count="1" selected="0">
            <x v="199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573">
      <pivotArea dataOnly="0" labelOnly="1" outline="0" fieldPosition="0">
        <references count="5">
          <reference field="0" count="1" selected="0">
            <x v="231"/>
          </reference>
          <reference field="5" count="1" selected="0">
            <x v="3"/>
          </reference>
          <reference field="7" count="1" selected="0">
            <x v="120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74">
      <pivotArea dataOnly="0" labelOnly="1" outline="0" fieldPosition="0">
        <references count="5">
          <reference field="0" count="1" selected="0">
            <x v="327"/>
          </reference>
          <reference field="5" count="1" selected="0">
            <x v="4"/>
          </reference>
          <reference field="7" count="1" selected="0">
            <x v="224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575">
      <pivotArea dataOnly="0" labelOnly="1" outline="0" fieldPosition="0">
        <references count="5">
          <reference field="0" count="1" selected="0">
            <x v="333"/>
          </reference>
          <reference field="5" count="1" selected="0">
            <x v="0"/>
          </reference>
          <reference field="7" count="1" selected="0">
            <x v="35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76">
      <pivotArea dataOnly="0" labelOnly="1" outline="0" fieldPosition="0">
        <references count="5">
          <reference field="0" count="1" selected="0">
            <x v="458"/>
          </reference>
          <reference field="5" count="1" selected="0">
            <x v="4"/>
          </reference>
          <reference field="7" count="1" selected="0">
            <x v="110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577">
      <pivotArea dataOnly="0" labelOnly="1" outline="0" fieldPosition="0">
        <references count="5">
          <reference field="0" count="1" selected="0">
            <x v="461"/>
          </reference>
          <reference field="5" count="1" selected="0">
            <x v="4"/>
          </reference>
          <reference field="7" count="1" selected="0">
            <x v="249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78">
      <pivotArea dataOnly="0" labelOnly="1" outline="0" fieldPosition="0">
        <references count="5">
          <reference field="0" count="1" selected="0">
            <x v="487"/>
          </reference>
          <reference field="5" count="1" selected="0">
            <x v="3"/>
          </reference>
          <reference field="7" count="1" selected="0">
            <x v="193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579">
      <pivotArea dataOnly="0" labelOnly="1" outline="0" fieldPosition="0">
        <references count="5">
          <reference field="0" count="1" selected="0">
            <x v="489"/>
          </reference>
          <reference field="5" count="1" selected="0">
            <x v="4"/>
          </reference>
          <reference field="7" count="1" selected="0">
            <x v="333"/>
          </reference>
          <reference field="8" count="1">
            <x v="0"/>
          </reference>
          <reference field="10" count="1" selected="0">
            <x v="1"/>
          </reference>
        </references>
      </pivotArea>
    </format>
    <format dxfId="580">
      <pivotArea dataOnly="0" labelOnly="1" outline="0" fieldPosition="0">
        <references count="5">
          <reference field="0" count="1" selected="0">
            <x v="540"/>
          </reference>
          <reference field="5" count="1" selected="0">
            <x v="4"/>
          </reference>
          <reference field="7" count="1" selected="0">
            <x v="51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581">
      <pivotArea dataOnly="0" labelOnly="1" outline="0" fieldPosition="0">
        <references count="5">
          <reference field="0" count="1" selected="0">
            <x v="544"/>
          </reference>
          <reference field="5" count="1" selected="0">
            <x v="4"/>
          </reference>
          <reference field="7" count="1" selected="0">
            <x v="209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582">
      <pivotArea dataOnly="0" labelOnly="1" outline="0" fieldPosition="0">
        <references count="5">
          <reference field="0" count="1" selected="0">
            <x v="563"/>
          </reference>
          <reference field="5" count="1" selected="0">
            <x v="3"/>
          </reference>
          <reference field="7" count="1" selected="0">
            <x v="165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583">
      <pivotArea dataOnly="0" labelOnly="1" outline="0" fieldPosition="0">
        <references count="5">
          <reference field="0" count="1" selected="0">
            <x v="569"/>
          </reference>
          <reference field="5" count="1" selected="0">
            <x v="3"/>
          </reference>
          <reference field="7" count="1" selected="0">
            <x v="315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584">
      <pivotArea dataOnly="0" labelOnly="1" outline="0" fieldPosition="0">
        <references count="5">
          <reference field="0" count="1" selected="0">
            <x v="579"/>
          </reference>
          <reference field="5" count="1" selected="0">
            <x v="4"/>
          </reference>
          <reference field="7" count="1" selected="0">
            <x v="153"/>
          </reference>
          <reference field="8" count="1">
            <x v="1"/>
          </reference>
          <reference field="10" count="1" selected="0">
            <x v="2"/>
          </reference>
        </references>
      </pivotArea>
    </format>
    <format dxfId="585">
      <pivotArea dataOnly="0" labelOnly="1" outline="0" fieldPosition="0">
        <references count="5">
          <reference field="0" count="1" selected="0">
            <x v="582"/>
          </reference>
          <reference field="5" count="1" selected="0">
            <x v="4"/>
          </reference>
          <reference field="7" count="1" selected="0">
            <x v="370"/>
          </reference>
          <reference field="8" count="1">
            <x v="0"/>
          </reference>
          <reference field="10" count="1" selected="0">
            <x v="1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6"/>
          </reference>
          <reference field="5" count="1" selected="0">
            <x v="4"/>
          </reference>
          <reference field="7" count="1" selected="0">
            <x v="144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15"/>
          </reference>
          <reference field="5" count="1" selected="0">
            <x v="1"/>
          </reference>
          <reference field="7" count="1" selected="0">
            <x v="188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16"/>
          </reference>
          <reference field="5" count="1" selected="0">
            <x v="4"/>
          </reference>
          <reference field="7" count="1" selected="0">
            <x v="12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19"/>
          </reference>
          <reference field="5" count="1" selected="0">
            <x v="0"/>
          </reference>
          <reference field="7" count="1" selected="0">
            <x v="29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20"/>
          </reference>
          <reference field="5" count="1" selected="0">
            <x v="4"/>
          </reference>
          <reference field="7" count="1" selected="0">
            <x v="155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22"/>
          </reference>
          <reference field="5" count="1" selected="0">
            <x v="5"/>
          </reference>
          <reference field="7" count="1" selected="0">
            <x v="2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24"/>
          </reference>
          <reference field="5" count="1" selected="0">
            <x v="5"/>
          </reference>
          <reference field="7" count="1" selected="0">
            <x v="15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26"/>
          </reference>
          <reference field="5" count="1" selected="0">
            <x v="4"/>
          </reference>
          <reference field="7" count="1" selected="0">
            <x v="347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39"/>
          </reference>
          <reference field="5" count="1" selected="0">
            <x v="4"/>
          </reference>
          <reference field="7" count="1" selected="0">
            <x v="16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55"/>
          </reference>
          <reference field="5" count="1" selected="0">
            <x v="6"/>
          </reference>
          <reference field="7" count="1" selected="0">
            <x v="341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58"/>
          </reference>
          <reference field="5" count="1" selected="0">
            <x v="2"/>
          </reference>
          <reference field="7" count="1" selected="0">
            <x v="34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60"/>
          </reference>
          <reference field="5" count="1" selected="0">
            <x v="0"/>
          </reference>
          <reference field="7" count="1" selected="0">
            <x v="20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79"/>
          </reference>
          <reference field="5" count="1" selected="0">
            <x v="3"/>
          </reference>
          <reference field="7" count="1" selected="0">
            <x v="9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86"/>
          </reference>
          <reference field="5" count="1" selected="0">
            <x v="4"/>
          </reference>
          <reference field="7" count="1" selected="0">
            <x v="2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89"/>
          </reference>
          <reference field="5" count="1" selected="0">
            <x v="2"/>
          </reference>
          <reference field="7" count="1" selected="0">
            <x v="237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99"/>
          </reference>
          <reference field="5" count="1" selected="0">
            <x v="0"/>
          </reference>
          <reference field="7" count="1" selected="0">
            <x v="19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105"/>
          </reference>
          <reference field="5" count="1" selected="0">
            <x v="4"/>
          </reference>
          <reference field="7" count="1" selected="0">
            <x v="116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106"/>
          </reference>
          <reference field="5" count="1" selected="0">
            <x v="3"/>
          </reference>
          <reference field="7" count="1" selected="0">
            <x v="37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115"/>
          </reference>
          <reference field="5" count="1" selected="0">
            <x v="1"/>
          </reference>
          <reference field="7" count="1" selected="0">
            <x v="26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118"/>
          </reference>
          <reference field="5" count="1" selected="0">
            <x v="1"/>
          </reference>
          <reference field="7" count="1" selected="0">
            <x v="84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131"/>
          </reference>
          <reference field="5" count="1" selected="0">
            <x v="3"/>
          </reference>
          <reference field="7" count="1" selected="0">
            <x v="126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136"/>
          </reference>
          <reference field="5" count="1" selected="0">
            <x v="1"/>
          </reference>
          <reference field="7" count="1" selected="0">
            <x v="26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139"/>
          </reference>
          <reference field="5" count="1" selected="0">
            <x v="2"/>
          </reference>
          <reference field="7" count="1" selected="0">
            <x v="15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142"/>
          </reference>
          <reference field="5" count="1" selected="0">
            <x v="0"/>
          </reference>
          <reference field="7" count="1" selected="0">
            <x v="18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147"/>
          </reference>
          <reference field="5" count="1" selected="0">
            <x v="0"/>
          </reference>
          <reference field="7" count="1" selected="0">
            <x v="278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153"/>
          </reference>
          <reference field="5" count="1" selected="0">
            <x v="6"/>
          </reference>
          <reference field="7" count="1" selected="0">
            <x v="25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156"/>
          </reference>
          <reference field="5" count="1" selected="0">
            <x v="4"/>
          </reference>
          <reference field="7" count="1" selected="0">
            <x v="28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158"/>
          </reference>
          <reference field="5" count="1" selected="0">
            <x v="4"/>
          </reference>
          <reference field="7" count="1" selected="0">
            <x v="240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160"/>
          </reference>
          <reference field="5" count="1" selected="0">
            <x v="4"/>
          </reference>
          <reference field="7" count="1" selected="0">
            <x v="198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162"/>
          </reference>
          <reference field="5" count="1" selected="0">
            <x v="1"/>
          </reference>
          <reference field="7" count="1" selected="0">
            <x v="264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170"/>
          </reference>
          <reference field="5" count="1" selected="0">
            <x v="3"/>
          </reference>
          <reference field="7" count="1" selected="0">
            <x v="280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192"/>
          </reference>
          <reference field="5" count="1" selected="0">
            <x v="4"/>
          </reference>
          <reference field="7" count="1" selected="0">
            <x v="212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193"/>
          </reference>
          <reference field="5" count="1" selected="0">
            <x v="4"/>
          </reference>
          <reference field="7" count="1" selected="0">
            <x v="53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203"/>
          </reference>
          <reference field="5" count="1" selected="0">
            <x v="3"/>
          </reference>
          <reference field="7" count="1" selected="0">
            <x v="272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215"/>
          </reference>
          <reference field="5" count="1" selected="0">
            <x v="4"/>
          </reference>
          <reference field="7" count="1" selected="0">
            <x v="13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219"/>
          </reference>
          <reference field="5" count="1" selected="0">
            <x v="4"/>
          </reference>
          <reference field="7" count="1" selected="0">
            <x v="356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222"/>
          </reference>
          <reference field="5" count="1" selected="0">
            <x v="3"/>
          </reference>
          <reference field="7" count="1" selected="0">
            <x v="30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226"/>
          </reference>
          <reference field="5" count="1" selected="0">
            <x v="4"/>
          </reference>
          <reference field="7" count="1" selected="0">
            <x v="199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231"/>
          </reference>
          <reference field="5" count="1" selected="0">
            <x v="3"/>
          </reference>
          <reference field="7" count="1" selected="0">
            <x v="12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237"/>
          </reference>
          <reference field="5" count="1" selected="0">
            <x v="4"/>
          </reference>
          <reference field="7" count="1" selected="0">
            <x v="8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253"/>
          </reference>
          <reference field="5" count="1" selected="0">
            <x v="4"/>
          </reference>
          <reference field="7" count="1" selected="0">
            <x v="207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260"/>
          </reference>
          <reference field="5" count="1" selected="0">
            <x v="0"/>
          </reference>
          <reference field="7" count="1" selected="0">
            <x v="127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264"/>
          </reference>
          <reference field="5" count="1" selected="0">
            <x v="1"/>
          </reference>
          <reference field="7" count="1" selected="0">
            <x v="258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273"/>
          </reference>
          <reference field="5" count="1" selected="0">
            <x v="4"/>
          </reference>
          <reference field="7" count="1" selected="0">
            <x v="342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276"/>
          </reference>
          <reference field="5" count="1" selected="0">
            <x v="5"/>
          </reference>
          <reference field="7" count="1" selected="0">
            <x v="18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279"/>
          </reference>
          <reference field="5" count="1" selected="0">
            <x v="1"/>
          </reference>
          <reference field="7" count="1" selected="0">
            <x v="20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280"/>
          </reference>
          <reference field="5" count="1" selected="0">
            <x v="4"/>
          </reference>
          <reference field="7" count="1" selected="0">
            <x v="8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281"/>
          </reference>
          <reference field="5" count="1" selected="0">
            <x v="4"/>
          </reference>
          <reference field="7" count="1" selected="0">
            <x v="243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288"/>
          </reference>
          <reference field="5" count="1" selected="0">
            <x v="2"/>
          </reference>
          <reference field="7" count="1" selected="0">
            <x v="33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295"/>
          </reference>
          <reference field="5" count="1" selected="0">
            <x v="1"/>
          </reference>
          <reference field="7" count="1" selected="0">
            <x v="25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303"/>
          </reference>
          <reference field="5" count="1" selected="0">
            <x v="4"/>
          </reference>
          <reference field="7" count="1" selected="0">
            <x v="9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304"/>
          </reference>
          <reference field="5" count="1" selected="0">
            <x v="3"/>
          </reference>
          <reference field="7" count="1" selected="0">
            <x v="208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307"/>
          </reference>
          <reference field="5" count="1" selected="0">
            <x v="1"/>
          </reference>
          <reference field="7" count="1" selected="0">
            <x v="9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318"/>
          </reference>
          <reference field="5" count="1" selected="0">
            <x v="1"/>
          </reference>
          <reference field="7" count="1" selected="0">
            <x v="19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327"/>
          </reference>
          <reference field="5" count="1" selected="0">
            <x v="4"/>
          </reference>
          <reference field="7" count="1" selected="0">
            <x v="224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333"/>
          </reference>
          <reference field="5" count="1" selected="0">
            <x v="0"/>
          </reference>
          <reference field="7" count="1" selected="0">
            <x v="3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341"/>
          </reference>
          <reference field="5" count="1" selected="0">
            <x v="4"/>
          </reference>
          <reference field="7" count="1" selected="0">
            <x v="226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358"/>
          </reference>
          <reference field="5" count="1" selected="0">
            <x v="6"/>
          </reference>
          <reference field="7" count="1" selected="0">
            <x v="227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366"/>
          </reference>
          <reference field="5" count="1" selected="0">
            <x v="4"/>
          </reference>
          <reference field="7" count="1" selected="0">
            <x v="10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369"/>
          </reference>
          <reference field="5" count="1" selected="0">
            <x v="3"/>
          </reference>
          <reference field="7" count="1" selected="0">
            <x v="4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373"/>
          </reference>
          <reference field="5" count="1" selected="0">
            <x v="4"/>
          </reference>
          <reference field="7" count="1" selected="0">
            <x v="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375"/>
          </reference>
          <reference field="5" count="1" selected="0">
            <x v="4"/>
          </reference>
          <reference field="7" count="1" selected="0">
            <x v="9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380"/>
          </reference>
          <reference field="5" count="1" selected="0">
            <x v="5"/>
          </reference>
          <reference field="7" count="1" selected="0">
            <x v="84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382"/>
          </reference>
          <reference field="5" count="1" selected="0">
            <x v="0"/>
          </reference>
          <reference field="7" count="1" selected="0">
            <x v="22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387"/>
          </reference>
          <reference field="5" count="1" selected="0">
            <x v="4"/>
          </reference>
          <reference field="7" count="1" selected="0">
            <x v="37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388"/>
          </reference>
          <reference field="5" count="1" selected="0">
            <x v="4"/>
          </reference>
          <reference field="7" count="1" selected="0">
            <x v="266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398"/>
          </reference>
          <reference field="5" count="1" selected="0">
            <x v="4"/>
          </reference>
          <reference field="7" count="1" selected="0">
            <x v="321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407"/>
          </reference>
          <reference field="5" count="1" selected="0">
            <x v="6"/>
          </reference>
          <reference field="7" count="1" selected="0">
            <x v="5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429"/>
          </reference>
          <reference field="5" count="1" selected="0">
            <x v="4"/>
          </reference>
          <reference field="7" count="1" selected="0">
            <x v="21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431"/>
          </reference>
          <reference field="5" count="1" selected="0">
            <x v="2"/>
          </reference>
          <reference field="7" count="1" selected="0">
            <x v="10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434"/>
          </reference>
          <reference field="5" count="1" selected="0">
            <x v="4"/>
          </reference>
          <reference field="7" count="1" selected="0">
            <x v="26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438"/>
          </reference>
          <reference field="5" count="1" selected="0">
            <x v="6"/>
          </reference>
          <reference field="7" count="1" selected="0">
            <x v="5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440"/>
          </reference>
          <reference field="5" count="1" selected="0">
            <x v="4"/>
          </reference>
          <reference field="7" count="1" selected="0">
            <x v="183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448"/>
          </reference>
          <reference field="5" count="1" selected="0">
            <x v="4"/>
          </reference>
          <reference field="7" count="1" selected="0">
            <x v="329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449"/>
          </reference>
          <reference field="5" count="1" selected="0">
            <x v="4"/>
          </reference>
          <reference field="7" count="1" selected="0">
            <x v="24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451"/>
          </reference>
          <reference field="5" count="1" selected="0">
            <x v="4"/>
          </reference>
          <reference field="7" count="1" selected="0">
            <x v="256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452"/>
          </reference>
          <reference field="5" count="1" selected="0">
            <x v="1"/>
          </reference>
          <reference field="7" count="1" selected="0">
            <x v="15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458"/>
          </reference>
          <reference field="5" count="1" selected="0">
            <x v="4"/>
          </reference>
          <reference field="7" count="1" selected="0">
            <x v="110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461"/>
          </reference>
          <reference field="5" count="1" selected="0">
            <x v="4"/>
          </reference>
          <reference field="7" count="1" selected="0">
            <x v="24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463"/>
          </reference>
          <reference field="5" count="1" selected="0">
            <x v="0"/>
          </reference>
          <reference field="7" count="1" selected="0">
            <x v="14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466"/>
          </reference>
          <reference field="5" count="1" selected="0">
            <x v="4"/>
          </reference>
          <reference field="7" count="1" selected="0">
            <x v="14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467"/>
          </reference>
          <reference field="5" count="1" selected="0">
            <x v="1"/>
          </reference>
          <reference field="7" count="1" selected="0">
            <x v="9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473"/>
          </reference>
          <reference field="5" count="1" selected="0">
            <x v="1"/>
          </reference>
          <reference field="7" count="1" selected="0">
            <x v="31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482"/>
          </reference>
          <reference field="5" count="1" selected="0">
            <x v="4"/>
          </reference>
          <reference field="7" count="1" selected="0">
            <x v="18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487"/>
          </reference>
          <reference field="5" count="1" selected="0">
            <x v="3"/>
          </reference>
          <reference field="7" count="1" selected="0">
            <x v="193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489"/>
          </reference>
          <reference field="5" count="1" selected="0">
            <x v="4"/>
          </reference>
          <reference field="7" count="1" selected="0">
            <x v="33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495"/>
          </reference>
          <reference field="5" count="1" selected="0">
            <x v="4"/>
          </reference>
          <reference field="7" count="1" selected="0">
            <x v="332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497"/>
          </reference>
          <reference field="5" count="1" selected="0">
            <x v="4"/>
          </reference>
          <reference field="7" count="1" selected="0">
            <x v="15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508"/>
          </reference>
          <reference field="5" count="1" selected="0">
            <x v="4"/>
          </reference>
          <reference field="7" count="1" selected="0">
            <x v="11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512"/>
          </reference>
          <reference field="5" count="1" selected="0">
            <x v="6"/>
          </reference>
          <reference field="7" count="1" selected="0">
            <x v="143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526"/>
          </reference>
          <reference field="5" count="1" selected="0">
            <x v="3"/>
          </reference>
          <reference field="7" count="1" selected="0">
            <x v="31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540"/>
          </reference>
          <reference field="5" count="1" selected="0">
            <x v="4"/>
          </reference>
          <reference field="7" count="1" selected="0">
            <x v="51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544"/>
          </reference>
          <reference field="5" count="1" selected="0">
            <x v="4"/>
          </reference>
          <reference field="7" count="1" selected="0">
            <x v="209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561"/>
          </reference>
          <reference field="5" count="1" selected="0">
            <x v="3"/>
          </reference>
          <reference field="7" count="1" selected="0">
            <x v="15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563"/>
          </reference>
          <reference field="5" count="1" selected="0">
            <x v="3"/>
          </reference>
          <reference field="7" count="1" selected="0">
            <x v="165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569"/>
          </reference>
          <reference field="5" count="1" selected="0">
            <x v="3"/>
          </reference>
          <reference field="7" count="1" selected="0">
            <x v="31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578"/>
          </reference>
          <reference field="5" count="1" selected="0">
            <x v="0"/>
          </reference>
          <reference field="7" count="1" selected="0">
            <x v="14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579"/>
          </reference>
          <reference field="5" count="1" selected="0">
            <x v="4"/>
          </reference>
          <reference field="7" count="1" selected="0">
            <x v="153"/>
          </reference>
          <reference field="8" count="1" selected="0">
            <x v="1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582"/>
          </reference>
          <reference field="5" count="1" selected="0">
            <x v="4"/>
          </reference>
          <reference field="7" count="1" selected="0">
            <x v="37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589"/>
          </reference>
          <reference field="5" count="1" selected="0">
            <x v="3"/>
          </reference>
          <reference field="7" count="1" selected="0">
            <x v="13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590"/>
          </reference>
          <reference field="5" count="1" selected="0">
            <x v="3"/>
          </reference>
          <reference field="7" count="1" selected="0">
            <x v="4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591"/>
          </reference>
          <reference field="5" count="1" selected="0">
            <x v="4"/>
          </reference>
          <reference field="7" count="1" selected="0">
            <x v="345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599"/>
          </reference>
          <reference field="5" count="1" selected="0">
            <x v="3"/>
          </reference>
          <reference field="7" count="1" selected="0">
            <x v="30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689">
      <pivotArea outline="0" fieldPosition="0">
        <references count="6">
          <reference field="0" count="110" selected="0">
            <x v="2"/>
            <x v="4"/>
            <x v="7"/>
            <x v="12"/>
            <x v="14"/>
            <x v="36"/>
            <x v="42"/>
            <x v="48"/>
            <x v="62"/>
            <x v="68"/>
            <x v="74"/>
            <x v="75"/>
            <x v="77"/>
            <x v="78"/>
            <x v="87"/>
            <x v="90"/>
            <x v="103"/>
            <x v="111"/>
            <x v="112"/>
            <x v="113"/>
            <x v="119"/>
            <x v="123"/>
            <x v="125"/>
            <x v="126"/>
            <x v="129"/>
            <x v="134"/>
            <x v="138"/>
            <x v="148"/>
            <x v="149"/>
            <x v="150"/>
            <x v="152"/>
            <x v="155"/>
            <x v="159"/>
            <x v="169"/>
            <x v="171"/>
            <x v="177"/>
            <x v="190"/>
            <x v="191"/>
            <x v="211"/>
            <x v="217"/>
            <x v="229"/>
            <x v="240"/>
            <x v="247"/>
            <x v="255"/>
            <x v="263"/>
            <x v="270"/>
            <x v="272"/>
            <x v="277"/>
            <x v="282"/>
            <x v="283"/>
            <x v="286"/>
            <x v="289"/>
            <x v="291"/>
            <x v="298"/>
            <x v="300"/>
            <x v="302"/>
            <x v="306"/>
            <x v="309"/>
            <x v="315"/>
            <x v="325"/>
            <x v="330"/>
            <x v="336"/>
            <x v="339"/>
            <x v="340"/>
            <x v="342"/>
            <x v="348"/>
            <x v="349"/>
            <x v="353"/>
            <x v="356"/>
            <x v="357"/>
            <x v="359"/>
            <x v="372"/>
            <x v="374"/>
            <x v="376"/>
            <x v="390"/>
            <x v="399"/>
            <x v="400"/>
            <x v="415"/>
            <x v="417"/>
            <x v="420"/>
            <x v="424"/>
            <x v="427"/>
            <x v="437"/>
            <x v="443"/>
            <x v="446"/>
            <x v="457"/>
            <x v="468"/>
            <x v="472"/>
            <x v="476"/>
            <x v="478"/>
            <x v="479"/>
            <x v="483"/>
            <x v="488"/>
            <x v="490"/>
            <x v="494"/>
            <x v="502"/>
            <x v="514"/>
            <x v="515"/>
            <x v="523"/>
            <x v="528"/>
            <x v="535"/>
            <x v="541"/>
            <x v="549"/>
            <x v="552"/>
            <x v="565"/>
            <x v="566"/>
            <x v="573"/>
            <x v="575"/>
            <x v="576"/>
            <x v="585"/>
          </reference>
          <reference field="5" count="0" selected="0"/>
          <reference field="7" count="99" selected="0">
            <x v="0"/>
            <x v="1"/>
            <x v="2"/>
            <x v="3"/>
            <x v="9"/>
            <x v="13"/>
            <x v="17"/>
            <x v="18"/>
            <x v="19"/>
            <x v="20"/>
            <x v="22"/>
            <x v="23"/>
            <x v="24"/>
            <x v="25"/>
            <x v="26"/>
            <x v="32"/>
            <x v="34"/>
            <x v="35"/>
            <x v="36"/>
            <x v="39"/>
            <x v="40"/>
            <x v="41"/>
            <x v="42"/>
            <x v="47"/>
            <x v="48"/>
            <x v="49"/>
            <x v="50"/>
            <x v="54"/>
            <x v="58"/>
            <x v="62"/>
            <x v="63"/>
            <x v="66"/>
            <x v="69"/>
            <x v="73"/>
            <x v="75"/>
            <x v="82"/>
            <x v="83"/>
            <x v="92"/>
            <x v="93"/>
            <x v="104"/>
            <x v="110"/>
            <x v="112"/>
            <x v="115"/>
            <x v="116"/>
            <x v="119"/>
            <x v="121"/>
            <x v="122"/>
            <x v="127"/>
            <x v="130"/>
            <x v="131"/>
            <x v="132"/>
            <x v="136"/>
            <x v="137"/>
            <x v="139"/>
            <x v="141"/>
            <x v="142"/>
            <x v="143"/>
            <x v="153"/>
            <x v="160"/>
            <x v="161"/>
            <x v="163"/>
            <x v="166"/>
            <x v="171"/>
            <x v="172"/>
            <x v="178"/>
            <x v="179"/>
            <x v="180"/>
            <x v="192"/>
            <x v="196"/>
            <x v="202"/>
            <x v="209"/>
            <x v="211"/>
            <x v="223"/>
            <x v="226"/>
            <x v="227"/>
            <x v="234"/>
            <x v="239"/>
            <x v="240"/>
            <x v="246"/>
            <x v="247"/>
            <x v="248"/>
            <x v="255"/>
            <x v="264"/>
            <x v="269"/>
            <x v="272"/>
            <x v="275"/>
            <x v="276"/>
            <x v="280"/>
            <x v="288"/>
            <x v="293"/>
            <x v="294"/>
            <x v="295"/>
            <x v="300"/>
            <x v="305"/>
            <x v="316"/>
            <x v="344"/>
            <x v="350"/>
            <x v="352"/>
            <x v="355"/>
          </reference>
          <reference field="8" count="0" selected="0"/>
          <reference field="10" count="0" selected="0"/>
          <reference field="17" count="0" selected="0"/>
        </references>
      </pivotArea>
    </format>
    <format dxfId="690">
      <pivotArea dataOnly="0" labelOnly="1" outline="0" fieldPosition="0">
        <references count="1">
          <reference field="0" count="50">
            <x v="2"/>
            <x v="4"/>
            <x v="7"/>
            <x v="12"/>
            <x v="14"/>
            <x v="36"/>
            <x v="42"/>
            <x v="48"/>
            <x v="62"/>
            <x v="68"/>
            <x v="74"/>
            <x v="75"/>
            <x v="77"/>
            <x v="78"/>
            <x v="87"/>
            <x v="90"/>
            <x v="103"/>
            <x v="111"/>
            <x v="112"/>
            <x v="113"/>
            <x v="119"/>
            <x v="123"/>
            <x v="125"/>
            <x v="126"/>
            <x v="129"/>
            <x v="134"/>
            <x v="138"/>
            <x v="148"/>
            <x v="149"/>
            <x v="150"/>
            <x v="152"/>
            <x v="155"/>
            <x v="159"/>
            <x v="169"/>
            <x v="171"/>
            <x v="177"/>
            <x v="190"/>
            <x v="191"/>
            <x v="211"/>
            <x v="217"/>
            <x v="229"/>
            <x v="240"/>
            <x v="247"/>
            <x v="255"/>
            <x v="263"/>
            <x v="270"/>
            <x v="272"/>
            <x v="277"/>
            <x v="282"/>
            <x v="283"/>
          </reference>
        </references>
      </pivotArea>
    </format>
    <format dxfId="691">
      <pivotArea dataOnly="0" labelOnly="1" outline="0" fieldPosition="0">
        <references count="1">
          <reference field="0" count="50">
            <x v="286"/>
            <x v="289"/>
            <x v="291"/>
            <x v="298"/>
            <x v="300"/>
            <x v="302"/>
            <x v="306"/>
            <x v="309"/>
            <x v="315"/>
            <x v="325"/>
            <x v="330"/>
            <x v="336"/>
            <x v="339"/>
            <x v="340"/>
            <x v="342"/>
            <x v="348"/>
            <x v="349"/>
            <x v="353"/>
            <x v="356"/>
            <x v="357"/>
            <x v="359"/>
            <x v="372"/>
            <x v="374"/>
            <x v="376"/>
            <x v="390"/>
            <x v="399"/>
            <x v="400"/>
            <x v="415"/>
            <x v="417"/>
            <x v="420"/>
            <x v="424"/>
            <x v="427"/>
            <x v="437"/>
            <x v="443"/>
            <x v="446"/>
            <x v="457"/>
            <x v="468"/>
            <x v="472"/>
            <x v="476"/>
            <x v="478"/>
            <x v="479"/>
            <x v="483"/>
            <x v="488"/>
            <x v="490"/>
            <x v="494"/>
            <x v="502"/>
            <x v="514"/>
            <x v="515"/>
            <x v="523"/>
            <x v="528"/>
          </reference>
        </references>
      </pivotArea>
    </format>
    <format dxfId="692">
      <pivotArea dataOnly="0" labelOnly="1" outline="0" fieldPosition="0">
        <references count="1">
          <reference field="0" count="10">
            <x v="535"/>
            <x v="541"/>
            <x v="549"/>
            <x v="552"/>
            <x v="565"/>
            <x v="566"/>
            <x v="573"/>
            <x v="575"/>
            <x v="576"/>
            <x v="585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2"/>
          </reference>
          <reference field="10" count="1">
            <x v="2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12"/>
          </reference>
          <reference field="10" count="1">
            <x v="1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14"/>
          </reference>
          <reference field="10" count="1">
            <x v="0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42"/>
          </reference>
          <reference field="10" count="1">
            <x v="1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48"/>
          </reference>
          <reference field="10" count="1">
            <x v="2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62"/>
          </reference>
          <reference field="10" count="1">
            <x v="1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68"/>
          </reference>
          <reference field="10" count="1">
            <x v="0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74"/>
          </reference>
          <reference field="10" count="1">
            <x v="1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77"/>
          </reference>
          <reference field="10" count="1">
            <x v="2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87"/>
          </reference>
          <reference field="10" count="1">
            <x v="0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90"/>
          </reference>
          <reference field="10" count="1">
            <x v="1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111"/>
          </reference>
          <reference field="10" count="1">
            <x v="2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112"/>
          </reference>
          <reference field="10" count="1">
            <x v="0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113"/>
          </reference>
          <reference field="10" count="1">
            <x v="2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126"/>
          </reference>
          <reference field="10" count="1">
            <x v="0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134"/>
          </reference>
          <reference field="10" count="1">
            <x v="2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138"/>
          </reference>
          <reference field="10" count="1">
            <x v="1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149"/>
          </reference>
          <reference field="10" count="1">
            <x v="2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150"/>
          </reference>
          <reference field="10" count="1">
            <x v="0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152"/>
          </reference>
          <reference field="10" count="1">
            <x v="2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155"/>
          </reference>
          <reference field="10" count="1">
            <x v="1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169"/>
          </reference>
          <reference field="10" count="1">
            <x v="0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177"/>
          </reference>
          <reference field="10" count="1">
            <x v="2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190"/>
          </reference>
          <reference field="10" count="1">
            <x v="1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191"/>
          </reference>
          <reference field="10" count="1">
            <x v="0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211"/>
          </reference>
          <reference field="10" count="1">
            <x v="2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217"/>
          </reference>
          <reference field="10" count="1">
            <x v="0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229"/>
          </reference>
          <reference field="10" count="1">
            <x v="1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255"/>
          </reference>
          <reference field="10" count="1">
            <x v="0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263"/>
          </reference>
          <reference field="10" count="1">
            <x v="2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270"/>
          </reference>
          <reference field="10" count="1">
            <x v="0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272"/>
          </reference>
          <reference field="10" count="1">
            <x v="2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277"/>
          </reference>
          <reference field="10" count="1">
            <x v="1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282"/>
          </reference>
          <reference field="10" count="1">
            <x v="0"/>
          </reference>
        </references>
      </pivotArea>
    </format>
    <format dxfId="727">
      <pivotArea dataOnly="0" labelOnly="1" outline="0" fieldPosition="0">
        <references count="2">
          <reference field="0" count="1" selected="0">
            <x v="283"/>
          </reference>
          <reference field="10" count="1">
            <x v="1"/>
          </reference>
        </references>
      </pivotArea>
    </format>
    <format dxfId="728">
      <pivotArea dataOnly="0" labelOnly="1" outline="0" fieldPosition="0">
        <references count="2">
          <reference field="0" count="1" selected="0">
            <x v="286"/>
          </reference>
          <reference field="10" count="1">
            <x v="0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289"/>
          </reference>
          <reference field="10" count="1">
            <x v="1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300"/>
          </reference>
          <reference field="10" count="1">
            <x v="0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330"/>
          </reference>
          <reference field="10" count="1">
            <x v="1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336"/>
          </reference>
          <reference field="10" count="1">
            <x v="0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339"/>
          </reference>
          <reference field="10" count="1">
            <x v="1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340"/>
          </reference>
          <reference field="10" count="1">
            <x v="0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342"/>
          </reference>
          <reference field="10" count="1">
            <x v="1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349"/>
          </reference>
          <reference field="10" count="1">
            <x v="0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353"/>
          </reference>
          <reference field="10" count="1">
            <x v="2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359"/>
          </reference>
          <reference field="10" count="1">
            <x v="1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372"/>
          </reference>
          <reference field="10" count="1">
            <x v="2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390"/>
          </reference>
          <reference field="10" count="1">
            <x v="1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399"/>
          </reference>
          <reference field="10" count="1">
            <x v="0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400"/>
          </reference>
          <reference field="10" count="1">
            <x v="1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415"/>
          </reference>
          <reference field="10" count="1">
            <x v="2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417"/>
          </reference>
          <reference field="10" count="1">
            <x v="1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420"/>
          </reference>
          <reference field="10" count="1">
            <x v="0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424"/>
          </reference>
          <reference field="10" count="1">
            <x v="2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427"/>
          </reference>
          <reference field="10" count="1">
            <x v="0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443"/>
          </reference>
          <reference field="10" count="1">
            <x v="1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457"/>
          </reference>
          <reference field="10" count="1">
            <x v="0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468"/>
          </reference>
          <reference field="10" count="1">
            <x v="1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476"/>
          </reference>
          <reference field="10" count="1">
            <x v="2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483"/>
          </reference>
          <reference field="10" count="1">
            <x v="1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490"/>
          </reference>
          <reference field="10" count="1">
            <x v="0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494"/>
          </reference>
          <reference field="10" count="1">
            <x v="1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502"/>
          </reference>
          <reference field="10" count="1">
            <x v="2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514"/>
          </reference>
          <reference field="10" count="1">
            <x v="1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515"/>
          </reference>
          <reference field="10" count="1">
            <x v="0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523"/>
          </reference>
          <reference field="10" count="1">
            <x v="1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528"/>
          </reference>
          <reference field="10" count="1">
            <x v="2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565"/>
          </reference>
          <reference field="10" count="1">
            <x v="1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575"/>
          </reference>
          <reference field="10" count="1">
            <x v="2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576"/>
          </reference>
          <reference field="10" count="1">
            <x v="1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585"/>
          </reference>
          <reference field="10" count="1">
            <x v="0"/>
          </reference>
        </references>
      </pivotArea>
    </format>
    <format dxfId="764">
      <pivotArea dataOnly="0" labelOnly="1" outline="0" fieldPosition="0">
        <references count="3">
          <reference field="0" count="1" selected="0">
            <x v="2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765">
      <pivotArea dataOnly="0" labelOnly="1" outline="0" fieldPosition="0">
        <references count="3">
          <reference field="0" count="1" selected="0">
            <x v="4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766">
      <pivotArea dataOnly="0" labelOnly="1" outline="0" fieldPosition="0">
        <references count="3">
          <reference field="0" count="1" selected="0">
            <x v="7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767">
      <pivotArea dataOnly="0" labelOnly="1" outline="0" fieldPosition="0">
        <references count="3">
          <reference field="0" count="1" selected="0">
            <x v="12"/>
          </reference>
          <reference field="5" count="1">
            <x v="5"/>
          </reference>
          <reference field="10" count="1" selected="0">
            <x v="1"/>
          </reference>
        </references>
      </pivotArea>
    </format>
    <format dxfId="768">
      <pivotArea dataOnly="0" labelOnly="1" outline="0" fieldPosition="0">
        <references count="3">
          <reference field="0" count="1" selected="0">
            <x v="14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769">
      <pivotArea dataOnly="0" labelOnly="1" outline="0" fieldPosition="0">
        <references count="3">
          <reference field="0" count="1" selected="0">
            <x v="42"/>
          </reference>
          <reference field="5" count="1">
            <x v="0"/>
          </reference>
          <reference field="10" count="1" selected="0">
            <x v="1"/>
          </reference>
        </references>
      </pivotArea>
    </format>
    <format dxfId="770">
      <pivotArea dataOnly="0" labelOnly="1" outline="0" fieldPosition="0">
        <references count="3">
          <reference field="0" count="1" selected="0">
            <x v="48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771">
      <pivotArea dataOnly="0" labelOnly="1" outline="0" fieldPosition="0">
        <references count="3">
          <reference field="0" count="1" selected="0">
            <x v="62"/>
          </reference>
          <reference field="5" count="1">
            <x v="0"/>
          </reference>
          <reference field="10" count="1" selected="0">
            <x v="1"/>
          </reference>
        </references>
      </pivotArea>
    </format>
    <format dxfId="772">
      <pivotArea dataOnly="0" labelOnly="1" outline="0" fieldPosition="0">
        <references count="3">
          <reference field="0" count="1" selected="0">
            <x v="68"/>
          </reference>
          <reference field="5" count="1">
            <x v="2"/>
          </reference>
          <reference field="10" count="1" selected="0">
            <x v="0"/>
          </reference>
        </references>
      </pivotArea>
    </format>
    <format dxfId="773">
      <pivotArea dataOnly="0" labelOnly="1" outline="0" fieldPosition="0">
        <references count="3">
          <reference field="0" count="1" selected="0">
            <x v="74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774">
      <pivotArea dataOnly="0" labelOnly="1" outline="0" fieldPosition="0">
        <references count="3">
          <reference field="0" count="1" selected="0">
            <x v="77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775">
      <pivotArea dataOnly="0" labelOnly="1" outline="0" fieldPosition="0">
        <references count="3">
          <reference field="0" count="1" selected="0">
            <x v="78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776">
      <pivotArea dataOnly="0" labelOnly="1" outline="0" fieldPosition="0">
        <references count="3">
          <reference field="0" count="1" selected="0">
            <x v="87"/>
          </reference>
          <reference field="5" count="1">
            <x v="2"/>
          </reference>
          <reference field="10" count="1" selected="0">
            <x v="0"/>
          </reference>
        </references>
      </pivotArea>
    </format>
    <format dxfId="777">
      <pivotArea dataOnly="0" labelOnly="1" outline="0" fieldPosition="0">
        <references count="3">
          <reference field="0" count="1" selected="0">
            <x v="90"/>
          </reference>
          <reference field="5" count="1">
            <x v="1"/>
          </reference>
          <reference field="10" count="1" selected="0">
            <x v="1"/>
          </reference>
        </references>
      </pivotArea>
    </format>
    <format dxfId="778">
      <pivotArea dataOnly="0" labelOnly="1" outline="0" fieldPosition="0">
        <references count="3">
          <reference field="0" count="1" selected="0">
            <x v="103"/>
          </reference>
          <reference field="5" count="1">
            <x v="2"/>
          </reference>
          <reference field="10" count="1" selected="0">
            <x v="1"/>
          </reference>
        </references>
      </pivotArea>
    </format>
    <format dxfId="779">
      <pivotArea dataOnly="0" labelOnly="1" outline="0" fieldPosition="0">
        <references count="3">
          <reference field="0" count="1" selected="0">
            <x v="111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780">
      <pivotArea dataOnly="0" labelOnly="1" outline="0" fieldPosition="0">
        <references count="3">
          <reference field="0" count="1" selected="0">
            <x v="112"/>
          </reference>
          <reference field="5" count="1">
            <x v="0"/>
          </reference>
          <reference field="10" count="1" selected="0">
            <x v="0"/>
          </reference>
        </references>
      </pivotArea>
    </format>
    <format dxfId="781">
      <pivotArea dataOnly="0" labelOnly="1" outline="0" fieldPosition="0">
        <references count="3">
          <reference field="0" count="1" selected="0">
            <x v="113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782">
      <pivotArea dataOnly="0" labelOnly="1" outline="0" fieldPosition="0">
        <references count="3">
          <reference field="0" count="1" selected="0">
            <x v="119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783">
      <pivotArea dataOnly="0" labelOnly="1" outline="0" fieldPosition="0">
        <references count="3">
          <reference field="0" count="1" selected="0">
            <x v="123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784">
      <pivotArea dataOnly="0" labelOnly="1" outline="0" fieldPosition="0">
        <references count="3">
          <reference field="0" count="1" selected="0">
            <x v="125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785">
      <pivotArea dataOnly="0" labelOnly="1" outline="0" fieldPosition="0">
        <references count="3">
          <reference field="0" count="1" selected="0">
            <x v="126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786">
      <pivotArea dataOnly="0" labelOnly="1" outline="0" fieldPosition="0">
        <references count="3">
          <reference field="0" count="1" selected="0">
            <x v="129"/>
          </reference>
          <reference field="5" count="1">
            <x v="2"/>
          </reference>
          <reference field="10" count="1" selected="0">
            <x v="0"/>
          </reference>
        </references>
      </pivotArea>
    </format>
    <format dxfId="787">
      <pivotArea dataOnly="0" labelOnly="1" outline="0" fieldPosition="0">
        <references count="3">
          <reference field="0" count="1" selected="0">
            <x v="134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788">
      <pivotArea dataOnly="0" labelOnly="1" outline="0" fieldPosition="0">
        <references count="3">
          <reference field="0" count="1" selected="0">
            <x v="148"/>
          </reference>
          <reference field="5" count="1">
            <x v="0"/>
          </reference>
          <reference field="10" count="1" selected="0">
            <x v="1"/>
          </reference>
        </references>
      </pivotArea>
    </format>
    <format dxfId="789">
      <pivotArea dataOnly="0" labelOnly="1" outline="0" fieldPosition="0">
        <references count="3">
          <reference field="0" count="1" selected="0">
            <x v="152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790">
      <pivotArea dataOnly="0" labelOnly="1" outline="0" fieldPosition="0">
        <references count="3">
          <reference field="0" count="1" selected="0">
            <x v="155"/>
          </reference>
          <reference field="5" count="1">
            <x v="2"/>
          </reference>
          <reference field="10" count="1" selected="0">
            <x v="1"/>
          </reference>
        </references>
      </pivotArea>
    </format>
    <format dxfId="791">
      <pivotArea dataOnly="0" labelOnly="1" outline="0" fieldPosition="0">
        <references count="3">
          <reference field="0" count="1" selected="0">
            <x v="159"/>
          </reference>
          <reference field="5" count="1">
            <x v="3"/>
          </reference>
          <reference field="10" count="1" selected="0">
            <x v="1"/>
          </reference>
        </references>
      </pivotArea>
    </format>
    <format dxfId="792">
      <pivotArea dataOnly="0" labelOnly="1" outline="0" fieldPosition="0">
        <references count="3">
          <reference field="0" count="1" selected="0">
            <x v="169"/>
          </reference>
          <reference field="5" count="1">
            <x v="2"/>
          </reference>
          <reference field="10" count="1" selected="0">
            <x v="0"/>
          </reference>
        </references>
      </pivotArea>
    </format>
    <format dxfId="793">
      <pivotArea dataOnly="0" labelOnly="1" outline="0" fieldPosition="0">
        <references count="3">
          <reference field="0" count="1" selected="0">
            <x v="171"/>
          </reference>
          <reference field="5" count="1">
            <x v="5"/>
          </reference>
          <reference field="10" count="1" selected="0">
            <x v="0"/>
          </reference>
        </references>
      </pivotArea>
    </format>
    <format dxfId="794">
      <pivotArea dataOnly="0" labelOnly="1" outline="0" fieldPosition="0">
        <references count="3">
          <reference field="0" count="1" selected="0">
            <x v="177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795">
      <pivotArea dataOnly="0" labelOnly="1" outline="0" fieldPosition="0">
        <references count="3">
          <reference field="0" count="1" selected="0">
            <x v="190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796">
      <pivotArea dataOnly="0" labelOnly="1" outline="0" fieldPosition="0">
        <references count="3">
          <reference field="0" count="1" selected="0">
            <x v="191"/>
          </reference>
          <reference field="5" count="1">
            <x v="1"/>
          </reference>
          <reference field="10" count="1" selected="0">
            <x v="0"/>
          </reference>
        </references>
      </pivotArea>
    </format>
    <format dxfId="797">
      <pivotArea dataOnly="0" labelOnly="1" outline="0" fieldPosition="0">
        <references count="3">
          <reference field="0" count="1" selected="0">
            <x v="211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798">
      <pivotArea dataOnly="0" labelOnly="1" outline="0" fieldPosition="0">
        <references count="3">
          <reference field="0" count="1" selected="0">
            <x v="217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799">
      <pivotArea dataOnly="0" labelOnly="1" outline="0" fieldPosition="0">
        <references count="3">
          <reference field="0" count="1" selected="0">
            <x v="229"/>
          </reference>
          <reference field="5" count="1">
            <x v="2"/>
          </reference>
          <reference field="10" count="1" selected="0">
            <x v="1"/>
          </reference>
        </references>
      </pivotArea>
    </format>
    <format dxfId="800">
      <pivotArea dataOnly="0" labelOnly="1" outline="0" fieldPosition="0">
        <references count="3">
          <reference field="0" count="1" selected="0">
            <x v="240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801">
      <pivotArea dataOnly="0" labelOnly="1" outline="0" fieldPosition="0">
        <references count="3">
          <reference field="0" count="1" selected="0">
            <x v="255"/>
          </reference>
          <reference field="5" count="1">
            <x v="5"/>
          </reference>
          <reference field="10" count="1" selected="0">
            <x v="0"/>
          </reference>
        </references>
      </pivotArea>
    </format>
    <format dxfId="802">
      <pivotArea dataOnly="0" labelOnly="1" outline="0" fieldPosition="0">
        <references count="3">
          <reference field="0" count="1" selected="0">
            <x v="263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803">
      <pivotArea dataOnly="0" labelOnly="1" outline="0" fieldPosition="0">
        <references count="3">
          <reference field="0" count="1" selected="0">
            <x v="270"/>
          </reference>
          <reference field="5" count="1">
            <x v="0"/>
          </reference>
          <reference field="10" count="1" selected="0">
            <x v="0"/>
          </reference>
        </references>
      </pivotArea>
    </format>
    <format dxfId="804">
      <pivotArea dataOnly="0" labelOnly="1" outline="0" fieldPosition="0">
        <references count="3">
          <reference field="0" count="1" selected="0">
            <x v="277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805">
      <pivotArea dataOnly="0" labelOnly="1" outline="0" fieldPosition="0">
        <references count="3">
          <reference field="0" count="1" selected="0">
            <x v="282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806">
      <pivotArea dataOnly="0" labelOnly="1" outline="0" fieldPosition="0">
        <references count="3">
          <reference field="0" count="1" selected="0">
            <x v="286"/>
          </reference>
          <reference field="5" count="1">
            <x v="1"/>
          </reference>
          <reference field="10" count="1" selected="0">
            <x v="0"/>
          </reference>
        </references>
      </pivotArea>
    </format>
    <format dxfId="807">
      <pivotArea dataOnly="0" labelOnly="1" outline="0" fieldPosition="0">
        <references count="3">
          <reference field="0" count="1" selected="0">
            <x v="289"/>
          </reference>
          <reference field="5" count="1">
            <x v="3"/>
          </reference>
          <reference field="10" count="1" selected="0">
            <x v="1"/>
          </reference>
        </references>
      </pivotArea>
    </format>
    <format dxfId="808">
      <pivotArea dataOnly="0" labelOnly="1" outline="0" fieldPosition="0">
        <references count="3">
          <reference field="0" count="1" selected="0">
            <x v="291"/>
          </reference>
          <reference field="5" count="1">
            <x v="5"/>
          </reference>
          <reference field="10" count="1" selected="0">
            <x v="1"/>
          </reference>
        </references>
      </pivotArea>
    </format>
    <format dxfId="809">
      <pivotArea dataOnly="0" labelOnly="1" outline="0" fieldPosition="0">
        <references count="3">
          <reference field="0" count="1" selected="0">
            <x v="298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810">
      <pivotArea dataOnly="0" labelOnly="1" outline="0" fieldPosition="0">
        <references count="3">
          <reference field="0" count="1" selected="0">
            <x v="300"/>
          </reference>
          <reference field="5" count="1">
            <x v="5"/>
          </reference>
          <reference field="10" count="1" selected="0">
            <x v="0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302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309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315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325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330"/>
          </reference>
          <reference field="5" count="1">
            <x v="2"/>
          </reference>
          <reference field="10" count="1" selected="0">
            <x v="1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336"/>
          </reference>
          <reference field="5" count="1">
            <x v="5"/>
          </reference>
          <reference field="10" count="1" selected="0">
            <x v="0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339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342"/>
          </reference>
          <reference field="5" count="1">
            <x v="2"/>
          </reference>
          <reference field="10" count="1" selected="0">
            <x v="1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348"/>
          </reference>
          <reference field="5" count="1">
            <x v="0"/>
          </reference>
          <reference field="10" count="1" selected="0">
            <x v="1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349"/>
          </reference>
          <reference field="5" count="1">
            <x v="5"/>
          </reference>
          <reference field="10" count="1" selected="0">
            <x v="0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353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356"/>
          </reference>
          <reference field="5" count="1">
            <x v="0"/>
          </reference>
          <reference field="10" count="1" selected="0">
            <x v="2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357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372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825">
      <pivotArea dataOnly="0" labelOnly="1" outline="0" fieldPosition="0">
        <references count="3">
          <reference field="0" count="1" selected="0">
            <x v="376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826">
      <pivotArea dataOnly="0" labelOnly="1" outline="0" fieldPosition="0">
        <references count="3">
          <reference field="0" count="1" selected="0">
            <x v="400"/>
          </reference>
          <reference field="5" count="1">
            <x v="6"/>
          </reference>
          <reference field="10" count="1" selected="0">
            <x v="1"/>
          </reference>
        </references>
      </pivotArea>
    </format>
    <format dxfId="827">
      <pivotArea dataOnly="0" labelOnly="1" outline="0" fieldPosition="0">
        <references count="3">
          <reference field="0" count="1" selected="0">
            <x v="415"/>
          </reference>
          <reference field="5" count="1">
            <x v="3"/>
          </reference>
          <reference field="10" count="1" selected="0">
            <x v="2"/>
          </reference>
        </references>
      </pivotArea>
    </format>
    <format dxfId="828">
      <pivotArea dataOnly="0" labelOnly="1" outline="0" fieldPosition="0">
        <references count="3">
          <reference field="0" count="1" selected="0">
            <x v="420"/>
          </reference>
          <reference field="5" count="1">
            <x v="0"/>
          </reference>
          <reference field="10" count="1" selected="0">
            <x v="0"/>
          </reference>
        </references>
      </pivotArea>
    </format>
    <format dxfId="829">
      <pivotArea dataOnly="0" labelOnly="1" outline="0" fieldPosition="0">
        <references count="3">
          <reference field="0" count="1" selected="0">
            <x v="424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830">
      <pivotArea dataOnly="0" labelOnly="1" outline="0" fieldPosition="0">
        <references count="3">
          <reference field="0" count="1" selected="0">
            <x v="427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831">
      <pivotArea dataOnly="0" labelOnly="1" outline="0" fieldPosition="0">
        <references count="3">
          <reference field="0" count="1" selected="0">
            <x v="437"/>
          </reference>
          <reference field="5" count="1">
            <x v="5"/>
          </reference>
          <reference field="10" count="1" selected="0">
            <x v="0"/>
          </reference>
        </references>
      </pivotArea>
    </format>
    <format dxfId="832">
      <pivotArea dataOnly="0" labelOnly="1" outline="0" fieldPosition="0">
        <references count="3">
          <reference field="0" count="1" selected="0">
            <x v="446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833">
      <pivotArea dataOnly="0" labelOnly="1" outline="0" fieldPosition="0">
        <references count="3">
          <reference field="0" count="1" selected="0">
            <x v="457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834">
      <pivotArea dataOnly="0" labelOnly="1" outline="0" fieldPosition="0">
        <references count="3">
          <reference field="0" count="1" selected="0">
            <x v="468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835">
      <pivotArea dataOnly="0" labelOnly="1" outline="0" fieldPosition="0">
        <references count="3">
          <reference field="0" count="1" selected="0">
            <x v="472"/>
          </reference>
          <reference field="5" count="1">
            <x v="2"/>
          </reference>
          <reference field="10" count="1" selected="0">
            <x v="1"/>
          </reference>
        </references>
      </pivotArea>
    </format>
    <format dxfId="836">
      <pivotArea dataOnly="0" labelOnly="1" outline="0" fieldPosition="0">
        <references count="3">
          <reference field="0" count="1" selected="0">
            <x v="476"/>
          </reference>
          <reference field="5" count="1">
            <x v="4"/>
          </reference>
          <reference field="10" count="1" selected="0">
            <x v="2"/>
          </reference>
        </references>
      </pivotArea>
    </format>
    <format dxfId="837">
      <pivotArea dataOnly="0" labelOnly="1" outline="0" fieldPosition="0">
        <references count="3">
          <reference field="0" count="1" selected="0">
            <x v="478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838">
      <pivotArea dataOnly="0" labelOnly="1" outline="0" fieldPosition="0">
        <references count="3">
          <reference field="0" count="1" selected="0">
            <x v="479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839">
      <pivotArea dataOnly="0" labelOnly="1" outline="0" fieldPosition="0">
        <references count="3">
          <reference field="0" count="1" selected="0">
            <x v="483"/>
          </reference>
          <reference field="5" count="1">
            <x v="3"/>
          </reference>
          <reference field="10" count="1" selected="0">
            <x v="1"/>
          </reference>
        </references>
      </pivotArea>
    </format>
    <format dxfId="840">
      <pivotArea dataOnly="0" labelOnly="1" outline="0" fieldPosition="0">
        <references count="3">
          <reference field="0" count="1" selected="0">
            <x v="488"/>
          </reference>
          <reference field="5" count="1">
            <x v="1"/>
          </reference>
          <reference field="10" count="1" selected="0">
            <x v="1"/>
          </reference>
        </references>
      </pivotArea>
    </format>
    <format dxfId="841">
      <pivotArea dataOnly="0" labelOnly="1" outline="0" fieldPosition="0">
        <references count="3">
          <reference field="0" count="1" selected="0">
            <x v="490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842">
      <pivotArea dataOnly="0" labelOnly="1" outline="0" fieldPosition="0">
        <references count="3">
          <reference field="0" count="1" selected="0">
            <x v="514"/>
          </reference>
          <reference field="5" count="1">
            <x v="5"/>
          </reference>
          <reference field="10" count="1" selected="0">
            <x v="1"/>
          </reference>
        </references>
      </pivotArea>
    </format>
    <format dxfId="843">
      <pivotArea dataOnly="0" labelOnly="1" outline="0" fieldPosition="0">
        <references count="3">
          <reference field="0" count="1" selected="0">
            <x v="515"/>
          </reference>
          <reference field="5" count="1">
            <x v="4"/>
          </reference>
          <reference field="10" count="1" selected="0">
            <x v="0"/>
          </reference>
        </references>
      </pivotArea>
    </format>
    <format dxfId="844">
      <pivotArea dataOnly="0" labelOnly="1" outline="0" fieldPosition="0">
        <references count="3">
          <reference field="0" count="1" selected="0">
            <x v="549"/>
          </reference>
          <reference field="5" count="1">
            <x v="5"/>
          </reference>
          <reference field="10" count="1" selected="0">
            <x v="2"/>
          </reference>
        </references>
      </pivotArea>
    </format>
    <format dxfId="845">
      <pivotArea dataOnly="0" labelOnly="1" outline="0" fieldPosition="0">
        <references count="3">
          <reference field="0" count="1" selected="0">
            <x v="552"/>
          </reference>
          <reference field="5" count="1">
            <x v="2"/>
          </reference>
          <reference field="10" count="1" selected="0">
            <x v="2"/>
          </reference>
        </references>
      </pivotArea>
    </format>
    <format dxfId="846">
      <pivotArea dataOnly="0" labelOnly="1" outline="0" fieldPosition="0">
        <references count="3">
          <reference field="0" count="1" selected="0">
            <x v="565"/>
          </reference>
          <reference field="5" count="1">
            <x v="4"/>
          </reference>
          <reference field="10" count="1" selected="0">
            <x v="1"/>
          </reference>
        </references>
      </pivotArea>
    </format>
    <format dxfId="847">
      <pivotArea dataOnly="0" labelOnly="1" outline="0" fieldPosition="0">
        <references count="3">
          <reference field="0" count="1" selected="0">
            <x v="585"/>
          </reference>
          <reference field="5" count="1">
            <x v="3"/>
          </reference>
          <reference field="10" count="1" selected="0">
            <x v="0"/>
          </reference>
        </references>
      </pivotArea>
    </format>
    <format dxfId="848">
      <pivotArea dataOnly="0" labelOnly="1" outline="0" fieldPosition="0">
        <references count="4">
          <reference field="0" count="1" selected="0">
            <x v="2"/>
          </reference>
          <reference field="5" count="1" selected="0">
            <x v="4"/>
          </reference>
          <reference field="7" count="1">
            <x v="48"/>
          </reference>
          <reference field="10" count="1" selected="0">
            <x v="2"/>
          </reference>
        </references>
      </pivotArea>
    </format>
    <format dxfId="849">
      <pivotArea dataOnly="0" labelOnly="1" outline="0" fieldPosition="0">
        <references count="4">
          <reference field="0" count="1" selected="0">
            <x v="4"/>
          </reference>
          <reference field="5" count="1" selected="0">
            <x v="3"/>
          </reference>
          <reference field="7" count="1">
            <x v="0"/>
          </reference>
          <reference field="10" count="1" selected="0">
            <x v="2"/>
          </reference>
        </references>
      </pivotArea>
    </format>
    <format dxfId="850">
      <pivotArea dataOnly="0" labelOnly="1" outline="0" fieldPosition="0">
        <references count="4">
          <reference field="0" count="1" selected="0">
            <x v="7"/>
          </reference>
          <reference field="5" count="1" selected="0">
            <x v="2"/>
          </reference>
          <reference field="7" count="1">
            <x v="40"/>
          </reference>
          <reference field="10" count="1" selected="0">
            <x v="2"/>
          </reference>
        </references>
      </pivotArea>
    </format>
    <format dxfId="851">
      <pivotArea dataOnly="0" labelOnly="1" outline="0" fieldPosition="0">
        <references count="4">
          <reference field="0" count="1" selected="0">
            <x v="12"/>
          </reference>
          <reference field="5" count="1" selected="0">
            <x v="5"/>
          </reference>
          <reference field="7" count="1">
            <x v="13"/>
          </reference>
          <reference field="10" count="1" selected="0">
            <x v="1"/>
          </reference>
        </references>
      </pivotArea>
    </format>
    <format dxfId="852">
      <pivotArea dataOnly="0" labelOnly="1" outline="0" fieldPosition="0">
        <references count="4">
          <reference field="0" count="1" selected="0">
            <x v="14"/>
          </reference>
          <reference field="5" count="1" selected="0">
            <x v="4"/>
          </reference>
          <reference field="7" count="1">
            <x v="294"/>
          </reference>
          <reference field="10" count="1" selected="0">
            <x v="0"/>
          </reference>
        </references>
      </pivotArea>
    </format>
    <format dxfId="853">
      <pivotArea dataOnly="0" labelOnly="1" outline="0" fieldPosition="0">
        <references count="4">
          <reference field="0" count="1" selected="0">
            <x v="36"/>
          </reference>
          <reference field="5" count="1" selected="0">
            <x v="4"/>
          </reference>
          <reference field="7" count="1">
            <x v="275"/>
          </reference>
          <reference field="10" count="1" selected="0">
            <x v="0"/>
          </reference>
        </references>
      </pivotArea>
    </format>
    <format dxfId="854">
      <pivotArea dataOnly="0" labelOnly="1" outline="0" fieldPosition="0">
        <references count="4">
          <reference field="0" count="1" selected="0">
            <x v="42"/>
          </reference>
          <reference field="5" count="1" selected="0">
            <x v="0"/>
          </reference>
          <reference field="7" count="1">
            <x v="316"/>
          </reference>
          <reference field="10" count="1" selected="0">
            <x v="1"/>
          </reference>
        </references>
      </pivotArea>
    </format>
    <format dxfId="855">
      <pivotArea dataOnly="0" labelOnly="1" outline="0" fieldPosition="0">
        <references count="4">
          <reference field="0" count="1" selected="0">
            <x v="48"/>
          </reference>
          <reference field="5" count="1" selected="0">
            <x v="2"/>
          </reference>
          <reference field="7" count="1">
            <x v="121"/>
          </reference>
          <reference field="10" count="1" selected="0">
            <x v="2"/>
          </reference>
        </references>
      </pivotArea>
    </format>
    <format dxfId="856">
      <pivotArea dataOnly="0" labelOnly="1" outline="0" fieldPosition="0">
        <references count="4">
          <reference field="0" count="1" selected="0">
            <x v="62"/>
          </reference>
          <reference field="5" count="1" selected="0">
            <x v="0"/>
          </reference>
          <reference field="7" count="1">
            <x v="276"/>
          </reference>
          <reference field="10" count="1" selected="0">
            <x v="1"/>
          </reference>
        </references>
      </pivotArea>
    </format>
    <format dxfId="857">
      <pivotArea dataOnly="0" labelOnly="1" outline="0" fieldPosition="0">
        <references count="4">
          <reference field="0" count="1" selected="0">
            <x v="68"/>
          </reference>
          <reference field="5" count="1" selected="0">
            <x v="2"/>
          </reference>
          <reference field="7" count="1">
            <x v="160"/>
          </reference>
          <reference field="10" count="1" selected="0">
            <x v="0"/>
          </reference>
        </references>
      </pivotArea>
    </format>
    <format dxfId="858">
      <pivotArea dataOnly="0" labelOnly="1" outline="0" fieldPosition="0">
        <references count="4">
          <reference field="0" count="1" selected="0">
            <x v="74"/>
          </reference>
          <reference field="5" count="1" selected="0">
            <x v="4"/>
          </reference>
          <reference field="7" count="1">
            <x v="131"/>
          </reference>
          <reference field="10" count="1" selected="0">
            <x v="1"/>
          </reference>
        </references>
      </pivotArea>
    </format>
    <format dxfId="859">
      <pivotArea dataOnly="0" labelOnly="1" outline="0" fieldPosition="0">
        <references count="4">
          <reference field="0" count="1" selected="0">
            <x v="75"/>
          </reference>
          <reference field="5" count="1" selected="0">
            <x v="4"/>
          </reference>
          <reference field="7" count="1">
            <x v="355"/>
          </reference>
          <reference field="10" count="1" selected="0">
            <x v="1"/>
          </reference>
        </references>
      </pivotArea>
    </format>
    <format dxfId="860">
      <pivotArea dataOnly="0" labelOnly="1" outline="0" fieldPosition="0">
        <references count="4">
          <reference field="0" count="1" selected="0">
            <x v="77"/>
          </reference>
          <reference field="5" count="1" selected="0">
            <x v="2"/>
          </reference>
          <reference field="7" count="1">
            <x v="47"/>
          </reference>
          <reference field="10" count="1" selected="0">
            <x v="2"/>
          </reference>
        </references>
      </pivotArea>
    </format>
    <format dxfId="861">
      <pivotArea dataOnly="0" labelOnly="1" outline="0" fieldPosition="0">
        <references count="4">
          <reference field="0" count="1" selected="0">
            <x v="78"/>
          </reference>
          <reference field="5" count="1" selected="0">
            <x v="4"/>
          </reference>
          <reference field="7" count="1">
            <x v="73"/>
          </reference>
          <reference field="10" count="1" selected="0">
            <x v="2"/>
          </reference>
        </references>
      </pivotArea>
    </format>
    <format dxfId="862">
      <pivotArea dataOnly="0" labelOnly="1" outline="0" fieldPosition="0">
        <references count="4">
          <reference field="0" count="1" selected="0">
            <x v="87"/>
          </reference>
          <reference field="5" count="1" selected="0">
            <x v="2"/>
          </reference>
          <reference field="7" count="1">
            <x v="112"/>
          </reference>
          <reference field="10" count="1" selected="0">
            <x v="0"/>
          </reference>
        </references>
      </pivotArea>
    </format>
    <format dxfId="863">
      <pivotArea dataOnly="0" labelOnly="1" outline="0" fieldPosition="0">
        <references count="4">
          <reference field="0" count="1" selected="0">
            <x v="90"/>
          </reference>
          <reference field="5" count="1" selected="0">
            <x v="1"/>
          </reference>
          <reference field="7" count="1">
            <x v="255"/>
          </reference>
          <reference field="10" count="1" selected="0">
            <x v="1"/>
          </reference>
        </references>
      </pivotArea>
    </format>
    <format dxfId="864">
      <pivotArea dataOnly="0" labelOnly="1" outline="0" fieldPosition="0">
        <references count="4">
          <reference field="0" count="1" selected="0">
            <x v="103"/>
          </reference>
          <reference field="5" count="1" selected="0">
            <x v="2"/>
          </reference>
          <reference field="7" count="1">
            <x v="63"/>
          </reference>
          <reference field="10" count="1" selected="0">
            <x v="1"/>
          </reference>
        </references>
      </pivotArea>
    </format>
    <format dxfId="865">
      <pivotArea dataOnly="0" labelOnly="1" outline="0" fieldPosition="0">
        <references count="4">
          <reference field="0" count="1" selected="0">
            <x v="111"/>
          </reference>
          <reference field="5" count="1" selected="0">
            <x v="4"/>
          </reference>
          <reference field="7" count="1">
            <x v="24"/>
          </reference>
          <reference field="10" count="1" selected="0">
            <x v="2"/>
          </reference>
        </references>
      </pivotArea>
    </format>
    <format dxfId="866">
      <pivotArea dataOnly="0" labelOnly="1" outline="0" fieldPosition="0">
        <references count="4">
          <reference field="0" count="1" selected="0">
            <x v="112"/>
          </reference>
          <reference field="5" count="1" selected="0">
            <x v="0"/>
          </reference>
          <reference field="7" count="1">
            <x v="0"/>
          </reference>
          <reference field="10" count="1" selected="0">
            <x v="0"/>
          </reference>
        </references>
      </pivotArea>
    </format>
    <format dxfId="867">
      <pivotArea dataOnly="0" labelOnly="1" outline="0" fieldPosition="0">
        <references count="4">
          <reference field="0" count="1" selected="0">
            <x v="113"/>
          </reference>
          <reference field="5" count="1" selected="0">
            <x v="3"/>
          </reference>
          <reference field="7" count="1">
            <x v="20"/>
          </reference>
          <reference field="10" count="1" selected="0">
            <x v="2"/>
          </reference>
        </references>
      </pivotArea>
    </format>
    <format dxfId="868">
      <pivotArea dataOnly="0" labelOnly="1" outline="0" fieldPosition="0">
        <references count="4">
          <reference field="0" count="1" selected="0">
            <x v="119"/>
          </reference>
          <reference field="5" count="1" selected="0">
            <x v="5"/>
          </reference>
          <reference field="7" count="1">
            <x v="35"/>
          </reference>
          <reference field="10" count="1" selected="0">
            <x v="2"/>
          </reference>
        </references>
      </pivotArea>
    </format>
    <format dxfId="869">
      <pivotArea dataOnly="0" labelOnly="1" outline="0" fieldPosition="0">
        <references count="4">
          <reference field="0" count="1" selected="0">
            <x v="123"/>
          </reference>
          <reference field="5" count="1" selected="0">
            <x v="4"/>
          </reference>
          <reference field="7" count="1">
            <x v="246"/>
          </reference>
          <reference field="10" count="1" selected="0">
            <x v="2"/>
          </reference>
        </references>
      </pivotArea>
    </format>
    <format dxfId="870">
      <pivotArea dataOnly="0" labelOnly="1" outline="0" fieldPosition="0">
        <references count="4">
          <reference field="0" count="1" selected="0">
            <x v="125"/>
          </reference>
          <reference field="5" count="1" selected="0">
            <x v="3"/>
          </reference>
          <reference field="7" count="1">
            <x v="247"/>
          </reference>
          <reference field="10" count="1" selected="0">
            <x v="2"/>
          </reference>
        </references>
      </pivotArea>
    </format>
    <format dxfId="871">
      <pivotArea dataOnly="0" labelOnly="1" outline="0" fieldPosition="0">
        <references count="4">
          <reference field="0" count="1" selected="0">
            <x v="126"/>
          </reference>
          <reference field="5" count="1" selected="0">
            <x v="4"/>
          </reference>
          <reference field="7" count="1">
            <x v="36"/>
          </reference>
          <reference field="10" count="1" selected="0">
            <x v="0"/>
          </reference>
        </references>
      </pivotArea>
    </format>
    <format dxfId="872">
      <pivotArea dataOnly="0" labelOnly="1" outline="0" fieldPosition="0">
        <references count="4">
          <reference field="0" count="1" selected="0">
            <x v="129"/>
          </reference>
          <reference field="5" count="1" selected="0">
            <x v="2"/>
          </reference>
          <reference field="7" count="1">
            <x v="223"/>
          </reference>
          <reference field="10" count="1" selected="0">
            <x v="0"/>
          </reference>
        </references>
      </pivotArea>
    </format>
    <format dxfId="873">
      <pivotArea dataOnly="0" labelOnly="1" outline="0" fieldPosition="0">
        <references count="4">
          <reference field="0" count="1" selected="0">
            <x v="134"/>
          </reference>
          <reference field="5" count="1" selected="0">
            <x v="4"/>
          </reference>
          <reference field="7" count="1">
            <x v="92"/>
          </reference>
          <reference field="10" count="1" selected="0">
            <x v="2"/>
          </reference>
        </references>
      </pivotArea>
    </format>
    <format dxfId="874">
      <pivotArea dataOnly="0" labelOnly="1" outline="0" fieldPosition="0">
        <references count="4">
          <reference field="0" count="1" selected="0">
            <x v="138"/>
          </reference>
          <reference field="5" count="1" selected="0">
            <x v="4"/>
          </reference>
          <reference field="7" count="1">
            <x v="161"/>
          </reference>
          <reference field="10" count="1" selected="0">
            <x v="1"/>
          </reference>
        </references>
      </pivotArea>
    </format>
    <format dxfId="875">
      <pivotArea dataOnly="0" labelOnly="1" outline="0" fieldPosition="0">
        <references count="4">
          <reference field="0" count="1" selected="0">
            <x v="148"/>
          </reference>
          <reference field="5" count="1" selected="0">
            <x v="0"/>
          </reference>
          <reference field="7" count="1">
            <x v="196"/>
          </reference>
          <reference field="10" count="1" selected="0">
            <x v="1"/>
          </reference>
        </references>
      </pivotArea>
    </format>
    <format dxfId="876">
      <pivotArea dataOnly="0" labelOnly="1" outline="0" fieldPosition="0">
        <references count="4">
          <reference field="0" count="1" selected="0">
            <x v="149"/>
          </reference>
          <reference field="5" count="1" selected="0">
            <x v="0"/>
          </reference>
          <reference field="7" count="1">
            <x v="1"/>
          </reference>
          <reference field="10" count="1" selected="0">
            <x v="2"/>
          </reference>
        </references>
      </pivotArea>
    </format>
    <format dxfId="877">
      <pivotArea dataOnly="0" labelOnly="1" outline="0" fieldPosition="0">
        <references count="4">
          <reference field="0" count="1" selected="0">
            <x v="150"/>
          </reference>
          <reference field="5" count="1" selected="0">
            <x v="0"/>
          </reference>
          <reference field="7" count="1">
            <x v="115"/>
          </reference>
          <reference field="10" count="1" selected="0">
            <x v="0"/>
          </reference>
        </references>
      </pivotArea>
    </format>
    <format dxfId="878">
      <pivotArea dataOnly="0" labelOnly="1" outline="0" fieldPosition="0">
        <references count="4">
          <reference field="0" count="1" selected="0">
            <x v="152"/>
          </reference>
          <reference field="5" count="1" selected="0">
            <x v="4"/>
          </reference>
          <reference field="7" count="1">
            <x v="171"/>
          </reference>
          <reference field="10" count="1" selected="0">
            <x v="2"/>
          </reference>
        </references>
      </pivotArea>
    </format>
    <format dxfId="879">
      <pivotArea dataOnly="0" labelOnly="1" outline="0" fieldPosition="0">
        <references count="4">
          <reference field="0" count="1" selected="0">
            <x v="155"/>
          </reference>
          <reference field="5" count="1" selected="0">
            <x v="2"/>
          </reference>
          <reference field="7" count="1">
            <x v="48"/>
          </reference>
          <reference field="10" count="1" selected="0">
            <x v="1"/>
          </reference>
        </references>
      </pivotArea>
    </format>
    <format dxfId="880">
      <pivotArea dataOnly="0" labelOnly="1" outline="0" fieldPosition="0">
        <references count="4">
          <reference field="0" count="1" selected="0">
            <x v="159"/>
          </reference>
          <reference field="5" count="1" selected="0">
            <x v="3"/>
          </reference>
          <reference field="7" count="1">
            <x v="350"/>
          </reference>
          <reference field="10" count="1" selected="0">
            <x v="1"/>
          </reference>
        </references>
      </pivotArea>
    </format>
    <format dxfId="881">
      <pivotArea dataOnly="0" labelOnly="1" outline="0" fieldPosition="0">
        <references count="4">
          <reference field="0" count="1" selected="0">
            <x v="169"/>
          </reference>
          <reference field="5" count="1" selected="0">
            <x v="2"/>
          </reference>
          <reference field="7" count="1">
            <x v="42"/>
          </reference>
          <reference field="10" count="1" selected="0">
            <x v="0"/>
          </reference>
        </references>
      </pivotArea>
    </format>
    <format dxfId="882">
      <pivotArea dataOnly="0" labelOnly="1" outline="0" fieldPosition="0">
        <references count="4">
          <reference field="0" count="1" selected="0">
            <x v="171"/>
          </reference>
          <reference field="5" count="1" selected="0">
            <x v="5"/>
          </reference>
          <reference field="7" count="1">
            <x v="26"/>
          </reference>
          <reference field="10" count="1" selected="0">
            <x v="0"/>
          </reference>
        </references>
      </pivotArea>
    </format>
    <format dxfId="883">
      <pivotArea dataOnly="0" labelOnly="1" outline="0" fieldPosition="0">
        <references count="4">
          <reference field="0" count="1" selected="0">
            <x v="177"/>
          </reference>
          <reference field="5" count="1" selected="0">
            <x v="3"/>
          </reference>
          <reference field="7" count="1">
            <x v="166"/>
          </reference>
          <reference field="10" count="1" selected="0">
            <x v="2"/>
          </reference>
        </references>
      </pivotArea>
    </format>
    <format dxfId="884">
      <pivotArea dataOnly="0" labelOnly="1" outline="0" fieldPosition="0">
        <references count="4">
          <reference field="0" count="1" selected="0">
            <x v="190"/>
          </reference>
          <reference field="5" count="1" selected="0">
            <x v="4"/>
          </reference>
          <reference field="7" count="1">
            <x v="295"/>
          </reference>
          <reference field="10" count="1" selected="0">
            <x v="1"/>
          </reference>
        </references>
      </pivotArea>
    </format>
    <format dxfId="885">
      <pivotArea dataOnly="0" labelOnly="1" outline="0" fieldPosition="0">
        <references count="4">
          <reference field="0" count="1" selected="0">
            <x v="191"/>
          </reference>
          <reference field="5" count="1" selected="0">
            <x v="1"/>
          </reference>
          <reference field="7" count="1">
            <x v="58"/>
          </reference>
          <reference field="10" count="1" selected="0">
            <x v="0"/>
          </reference>
        </references>
      </pivotArea>
    </format>
    <format dxfId="886">
      <pivotArea dataOnly="0" labelOnly="1" outline="0" fieldPosition="0">
        <references count="4">
          <reference field="0" count="1" selected="0">
            <x v="211"/>
          </reference>
          <reference field="5" count="1" selected="0">
            <x v="5"/>
          </reference>
          <reference field="7" count="1">
            <x v="248"/>
          </reference>
          <reference field="10" count="1" selected="0">
            <x v="2"/>
          </reference>
        </references>
      </pivotArea>
    </format>
    <format dxfId="887">
      <pivotArea dataOnly="0" labelOnly="1" outline="0" fieldPosition="0">
        <references count="4">
          <reference field="0" count="1" selected="0">
            <x v="217"/>
          </reference>
          <reference field="5" count="1" selected="0">
            <x v="3"/>
          </reference>
          <reference field="7" count="1">
            <x v="209"/>
          </reference>
          <reference field="10" count="1" selected="0">
            <x v="0"/>
          </reference>
        </references>
      </pivotArea>
    </format>
    <format dxfId="888">
      <pivotArea dataOnly="0" labelOnly="1" outline="0" fieldPosition="0">
        <references count="4">
          <reference field="0" count="1" selected="0">
            <x v="229"/>
          </reference>
          <reference field="5" count="1" selected="0">
            <x v="2"/>
          </reference>
          <reference field="7" count="1">
            <x v="136"/>
          </reference>
          <reference field="10" count="1" selected="0">
            <x v="1"/>
          </reference>
        </references>
      </pivotArea>
    </format>
    <format dxfId="889">
      <pivotArea dataOnly="0" labelOnly="1" outline="0" fieldPosition="0">
        <references count="4">
          <reference field="0" count="1" selected="0">
            <x v="240"/>
          </reference>
          <reference field="5" count="1" selected="0">
            <x v="4"/>
          </reference>
          <reference field="7" count="1">
            <x v="104"/>
          </reference>
          <reference field="10" count="1" selected="0">
            <x v="1"/>
          </reference>
        </references>
      </pivotArea>
    </format>
    <format dxfId="890">
      <pivotArea dataOnly="0" labelOnly="1" outline="0" fieldPosition="0">
        <references count="4">
          <reference field="0" count="1" selected="0">
            <x v="247"/>
          </reference>
          <reference field="5" count="1" selected="0">
            <x v="4"/>
          </reference>
          <reference field="7" count="1">
            <x v="0"/>
          </reference>
          <reference field="10" count="1" selected="0">
            <x v="1"/>
          </reference>
        </references>
      </pivotArea>
    </format>
    <format dxfId="891">
      <pivotArea dataOnly="0" labelOnly="1" outline="0" fieldPosition="0">
        <references count="4">
          <reference field="0" count="1" selected="0">
            <x v="255"/>
          </reference>
          <reference field="5" count="1" selected="0">
            <x v="5"/>
          </reference>
          <reference field="7" count="1">
            <x v="110"/>
          </reference>
          <reference field="10" count="1" selected="0">
            <x v="0"/>
          </reference>
        </references>
      </pivotArea>
    </format>
    <format dxfId="892">
      <pivotArea dataOnly="0" labelOnly="1" outline="0" fieldPosition="0">
        <references count="4">
          <reference field="0" count="1" selected="0">
            <x v="263"/>
          </reference>
          <reference field="5" count="1" selected="0">
            <x v="3"/>
          </reference>
          <reference field="7" count="1">
            <x v="305"/>
          </reference>
          <reference field="10" count="1" selected="0">
            <x v="2"/>
          </reference>
        </references>
      </pivotArea>
    </format>
    <format dxfId="893">
      <pivotArea dataOnly="0" labelOnly="1" outline="0" fieldPosition="0">
        <references count="4">
          <reference field="0" count="1" selected="0">
            <x v="270"/>
          </reference>
          <reference field="5" count="1" selected="0">
            <x v="0"/>
          </reference>
          <reference field="7" count="1">
            <x v="41"/>
          </reference>
          <reference field="10" count="1" selected="0">
            <x v="0"/>
          </reference>
        </references>
      </pivotArea>
    </format>
    <format dxfId="894">
      <pivotArea dataOnly="0" labelOnly="1" outline="0" fieldPosition="0">
        <references count="4">
          <reference field="0" count="1" selected="0">
            <x v="272"/>
          </reference>
          <reference field="5" count="1" selected="0">
            <x v="0"/>
          </reference>
          <reference field="7" count="1">
            <x v="116"/>
          </reference>
          <reference field="10" count="1" selected="0">
            <x v="2"/>
          </reference>
        </references>
      </pivotArea>
    </format>
    <format dxfId="895">
      <pivotArea dataOnly="0" labelOnly="1" outline="0" fieldPosition="0">
        <references count="4">
          <reference field="0" count="1" selected="0">
            <x v="277"/>
          </reference>
          <reference field="5" count="1" selected="0">
            <x v="4"/>
          </reference>
          <reference field="7" count="1">
            <x v="288"/>
          </reference>
          <reference field="10" count="1" selected="0">
            <x v="1"/>
          </reference>
        </references>
      </pivotArea>
    </format>
    <format dxfId="896">
      <pivotArea dataOnly="0" labelOnly="1" outline="0" fieldPosition="0">
        <references count="4">
          <reference field="0" count="1" selected="0">
            <x v="282"/>
          </reference>
          <reference field="5" count="1" selected="0">
            <x v="3"/>
          </reference>
          <reference field="7" count="1">
            <x v="300"/>
          </reference>
          <reference field="10" count="1" selected="0">
            <x v="0"/>
          </reference>
        </references>
      </pivotArea>
    </format>
    <format dxfId="897">
      <pivotArea dataOnly="0" labelOnly="1" outline="0" fieldPosition="0">
        <references count="4">
          <reference field="0" count="1" selected="0">
            <x v="283"/>
          </reference>
          <reference field="5" count="1" selected="0">
            <x v="3"/>
          </reference>
          <reference field="7" count="1">
            <x v="172"/>
          </reference>
          <reference field="10" count="1" selected="0">
            <x v="1"/>
          </reference>
        </references>
      </pivotArea>
    </format>
    <format dxfId="898">
      <pivotArea dataOnly="0" labelOnly="1" outline="0" fieldPosition="0">
        <references count="4">
          <reference field="0" count="1" selected="0">
            <x v="286"/>
          </reference>
          <reference field="5" count="1" selected="0">
            <x v="1"/>
          </reference>
          <reference field="7" count="1">
            <x v="83"/>
          </reference>
          <reference field="10" count="1" selected="0">
            <x v="0"/>
          </reference>
        </references>
      </pivotArea>
    </format>
    <format dxfId="899">
      <pivotArea dataOnly="0" labelOnly="1" outline="0" fieldPosition="0">
        <references count="4">
          <reference field="0" count="1" selected="0">
            <x v="289"/>
          </reference>
          <reference field="5" count="1" selected="0">
            <x v="3"/>
          </reference>
          <reference field="7" count="1">
            <x v="280"/>
          </reference>
          <reference field="10" count="1" selected="0">
            <x v="1"/>
          </reference>
        </references>
      </pivotArea>
    </format>
    <format dxfId="900">
      <pivotArea dataOnly="0" labelOnly="1" outline="0" fieldPosition="0">
        <references count="4">
          <reference field="0" count="1" selected="0">
            <x v="291"/>
          </reference>
          <reference field="5" count="1" selected="0">
            <x v="5"/>
          </reference>
          <reference field="7" count="1">
            <x v="240"/>
          </reference>
          <reference field="10" count="1" selected="0">
            <x v="1"/>
          </reference>
        </references>
      </pivotArea>
    </format>
    <format dxfId="901">
      <pivotArea dataOnly="0" labelOnly="1" outline="0" fieldPosition="0">
        <references count="4">
          <reference field="0" count="1" selected="0">
            <x v="300"/>
          </reference>
          <reference field="5" count="1" selected="0">
            <x v="5"/>
          </reference>
          <reference field="7" count="1">
            <x v="19"/>
          </reference>
          <reference field="10" count="1" selected="0">
            <x v="0"/>
          </reference>
        </references>
      </pivotArea>
    </format>
    <format dxfId="902">
      <pivotArea dataOnly="0" labelOnly="1" outline="0" fieldPosition="0">
        <references count="4">
          <reference field="0" count="1" selected="0">
            <x v="302"/>
          </reference>
          <reference field="5" count="1" selected="0">
            <x v="4"/>
          </reference>
          <reference field="7" count="1">
            <x v="239"/>
          </reference>
          <reference field="10" count="1" selected="0">
            <x v="0"/>
          </reference>
        </references>
      </pivotArea>
    </format>
    <format dxfId="903">
      <pivotArea dataOnly="0" labelOnly="1" outline="0" fieldPosition="0">
        <references count="4">
          <reference field="0" count="1" selected="0">
            <x v="306"/>
          </reference>
          <reference field="5" count="1" selected="0">
            <x v="4"/>
          </reference>
          <reference field="7" count="1">
            <x v="119"/>
          </reference>
          <reference field="10" count="1" selected="0">
            <x v="0"/>
          </reference>
        </references>
      </pivotArea>
    </format>
    <format dxfId="904">
      <pivotArea dataOnly="0" labelOnly="1" outline="0" fieldPosition="0">
        <references count="4">
          <reference field="0" count="1" selected="0">
            <x v="309"/>
          </reference>
          <reference field="5" count="1" selected="0">
            <x v="3"/>
          </reference>
          <reference field="7" count="1">
            <x v="49"/>
          </reference>
          <reference field="10" count="1" selected="0">
            <x v="0"/>
          </reference>
        </references>
      </pivotArea>
    </format>
    <format dxfId="905">
      <pivotArea dataOnly="0" labelOnly="1" outline="0" fieldPosition="0">
        <references count="4">
          <reference field="0" count="1" selected="0">
            <x v="315"/>
          </reference>
          <reference field="5" count="1" selected="0">
            <x v="4"/>
          </reference>
          <reference field="7" count="1">
            <x v="22"/>
          </reference>
          <reference field="10" count="1" selected="0">
            <x v="0"/>
          </reference>
        </references>
      </pivotArea>
    </format>
    <format dxfId="906">
      <pivotArea dataOnly="0" labelOnly="1" outline="0" fieldPosition="0">
        <references count="4">
          <reference field="0" count="1" selected="0">
            <x v="325"/>
          </reference>
          <reference field="5" count="1" selected="0">
            <x v="3"/>
          </reference>
          <reference field="7" count="1">
            <x v="227"/>
          </reference>
          <reference field="10" count="1" selected="0">
            <x v="0"/>
          </reference>
        </references>
      </pivotArea>
    </format>
    <format dxfId="907">
      <pivotArea dataOnly="0" labelOnly="1" outline="0" fieldPosition="0">
        <references count="4">
          <reference field="0" count="1" selected="0">
            <x v="330"/>
          </reference>
          <reference field="5" count="1" selected="0">
            <x v="2"/>
          </reference>
          <reference field="7" count="1">
            <x v="62"/>
          </reference>
          <reference field="10" count="1" selected="0">
            <x v="1"/>
          </reference>
        </references>
      </pivotArea>
    </format>
    <format dxfId="908">
      <pivotArea dataOnly="0" labelOnly="1" outline="0" fieldPosition="0">
        <references count="4">
          <reference field="0" count="1" selected="0">
            <x v="336"/>
          </reference>
          <reference field="5" count="1" selected="0">
            <x v="5"/>
          </reference>
          <reference field="7" count="1">
            <x v="272"/>
          </reference>
          <reference field="10" count="1" selected="0">
            <x v="0"/>
          </reference>
        </references>
      </pivotArea>
    </format>
    <format dxfId="909">
      <pivotArea dataOnly="0" labelOnly="1" outline="0" fieldPosition="0">
        <references count="4">
          <reference field="0" count="1" selected="0">
            <x v="339"/>
          </reference>
          <reference field="5" count="1" selected="0">
            <x v="4"/>
          </reference>
          <reference field="7" count="1">
            <x v="153"/>
          </reference>
          <reference field="10" count="1" selected="0">
            <x v="1"/>
          </reference>
        </references>
      </pivotArea>
    </format>
    <format dxfId="910">
      <pivotArea dataOnly="0" labelOnly="1" outline="0" fieldPosition="0">
        <references count="4">
          <reference field="0" count="1" selected="0">
            <x v="340"/>
          </reference>
          <reference field="5" count="1" selected="0">
            <x v="4"/>
          </reference>
          <reference field="7" count="1">
            <x v="93"/>
          </reference>
          <reference field="10" count="1" selected="0">
            <x v="0"/>
          </reference>
        </references>
      </pivotArea>
    </format>
    <format dxfId="911">
      <pivotArea dataOnly="0" labelOnly="1" outline="0" fieldPosition="0">
        <references count="4">
          <reference field="0" count="1" selected="0">
            <x v="342"/>
          </reference>
          <reference field="5" count="1" selected="0">
            <x v="2"/>
          </reference>
          <reference field="7" count="1">
            <x v="143"/>
          </reference>
          <reference field="10" count="1" selected="0">
            <x v="1"/>
          </reference>
        </references>
      </pivotArea>
    </format>
    <format dxfId="912">
      <pivotArea dataOnly="0" labelOnly="1" outline="0" fieldPosition="0">
        <references count="4">
          <reference field="0" count="1" selected="0">
            <x v="348"/>
          </reference>
          <reference field="5" count="1" selected="0">
            <x v="0"/>
          </reference>
          <reference field="7" count="1">
            <x v="32"/>
          </reference>
          <reference field="10" count="1" selected="0">
            <x v="1"/>
          </reference>
        </references>
      </pivotArea>
    </format>
    <format dxfId="913">
      <pivotArea dataOnly="0" labelOnly="1" outline="0" fieldPosition="0">
        <references count="4">
          <reference field="0" count="1" selected="0">
            <x v="349"/>
          </reference>
          <reference field="5" count="1" selected="0">
            <x v="5"/>
          </reference>
          <reference field="7" count="1">
            <x v="352"/>
          </reference>
          <reference field="10" count="1" selected="0">
            <x v="0"/>
          </reference>
        </references>
      </pivotArea>
    </format>
    <format dxfId="914">
      <pivotArea dataOnly="0" labelOnly="1" outline="0" fieldPosition="0">
        <references count="4">
          <reference field="0" count="1" selected="0">
            <x v="353"/>
          </reference>
          <reference field="5" count="1" selected="0">
            <x v="2"/>
          </reference>
          <reference field="7" count="1">
            <x v="192"/>
          </reference>
          <reference field="10" count="1" selected="0">
            <x v="2"/>
          </reference>
        </references>
      </pivotArea>
    </format>
    <format dxfId="915">
      <pivotArea dataOnly="0" labelOnly="1" outline="0" fieldPosition="0">
        <references count="4">
          <reference field="0" count="1" selected="0">
            <x v="356"/>
          </reference>
          <reference field="5" count="1" selected="0">
            <x v="0"/>
          </reference>
          <reference field="7" count="1">
            <x v="82"/>
          </reference>
          <reference field="10" count="1" selected="0">
            <x v="2"/>
          </reference>
        </references>
      </pivotArea>
    </format>
    <format dxfId="916">
      <pivotArea dataOnly="0" labelOnly="1" outline="0" fieldPosition="0">
        <references count="4">
          <reference field="0" count="1" selected="0">
            <x v="357"/>
          </reference>
          <reference field="5" count="1" selected="0">
            <x v="5"/>
          </reference>
          <reference field="7" count="1">
            <x v="9"/>
          </reference>
          <reference field="10" count="1" selected="0">
            <x v="2"/>
          </reference>
        </references>
      </pivotArea>
    </format>
    <format dxfId="917">
      <pivotArea dataOnly="0" labelOnly="1" outline="0" fieldPosition="0">
        <references count="4">
          <reference field="0" count="1" selected="0">
            <x v="359"/>
          </reference>
          <reference field="5" count="1" selected="0">
            <x v="5"/>
          </reference>
          <reference field="7" count="1">
            <x v="269"/>
          </reference>
          <reference field="10" count="1" selected="0">
            <x v="1"/>
          </reference>
        </references>
      </pivotArea>
    </format>
    <format dxfId="918">
      <pivotArea dataOnly="0" labelOnly="1" outline="0" fieldPosition="0">
        <references count="4">
          <reference field="0" count="1" selected="0">
            <x v="372"/>
          </reference>
          <reference field="5" count="1" selected="0">
            <x v="4"/>
          </reference>
          <reference field="7" count="1">
            <x v="75"/>
          </reference>
          <reference field="10" count="1" selected="0">
            <x v="2"/>
          </reference>
        </references>
      </pivotArea>
    </format>
    <format dxfId="919">
      <pivotArea dataOnly="0" labelOnly="1" outline="0" fieldPosition="0">
        <references count="4">
          <reference field="0" count="1" selected="0">
            <x v="374"/>
          </reference>
          <reference field="5" count="1" selected="0">
            <x v="4"/>
          </reference>
          <reference field="7" count="1">
            <x v="39"/>
          </reference>
          <reference field="10" count="1" selected="0">
            <x v="2"/>
          </reference>
        </references>
      </pivotArea>
    </format>
    <format dxfId="920">
      <pivotArea dataOnly="0" labelOnly="1" outline="0" fieldPosition="0">
        <references count="4">
          <reference field="0" count="1" selected="0">
            <x v="376"/>
          </reference>
          <reference field="5" count="1" selected="0">
            <x v="3"/>
          </reference>
          <reference field="7" count="1">
            <x v="202"/>
          </reference>
          <reference field="10" count="1" selected="0">
            <x v="2"/>
          </reference>
        </references>
      </pivotArea>
    </format>
    <format dxfId="921">
      <pivotArea dataOnly="0" labelOnly="1" outline="0" fieldPosition="0">
        <references count="4">
          <reference field="0" count="1" selected="0">
            <x v="390"/>
          </reference>
          <reference field="5" count="1" selected="0">
            <x v="3"/>
          </reference>
          <reference field="7" count="1">
            <x v="50"/>
          </reference>
          <reference field="10" count="1" selected="0">
            <x v="1"/>
          </reference>
        </references>
      </pivotArea>
    </format>
    <format dxfId="922">
      <pivotArea dataOnly="0" labelOnly="1" outline="0" fieldPosition="0">
        <references count="4">
          <reference field="0" count="1" selected="0">
            <x v="399"/>
          </reference>
          <reference field="5" count="1" selected="0">
            <x v="3"/>
          </reference>
          <reference field="7" count="1">
            <x v="25"/>
          </reference>
          <reference field="10" count="1" selected="0">
            <x v="0"/>
          </reference>
        </references>
      </pivotArea>
    </format>
    <format dxfId="923">
      <pivotArea dataOnly="0" labelOnly="1" outline="0" fieldPosition="0">
        <references count="4">
          <reference field="0" count="1" selected="0">
            <x v="400"/>
          </reference>
          <reference field="5" count="1" selected="0">
            <x v="6"/>
          </reference>
          <reference field="7" count="1">
            <x v="23"/>
          </reference>
          <reference field="10" count="1" selected="0">
            <x v="1"/>
          </reference>
        </references>
      </pivotArea>
    </format>
    <format dxfId="924">
      <pivotArea dataOnly="0" labelOnly="1" outline="0" fieldPosition="0">
        <references count="4">
          <reference field="0" count="1" selected="0">
            <x v="415"/>
          </reference>
          <reference field="5" count="1" selected="0">
            <x v="3"/>
          </reference>
          <reference field="7" count="1">
            <x v="9"/>
          </reference>
          <reference field="10" count="1" selected="0">
            <x v="2"/>
          </reference>
        </references>
      </pivotArea>
    </format>
    <format dxfId="925">
      <pivotArea dataOnly="0" labelOnly="1" outline="0" fieldPosition="0">
        <references count="4">
          <reference field="0" count="1" selected="0">
            <x v="417"/>
          </reference>
          <reference field="5" count="1" selected="0">
            <x v="3"/>
          </reference>
          <reference field="7" count="1">
            <x v="66"/>
          </reference>
          <reference field="10" count="1" selected="0">
            <x v="1"/>
          </reference>
        </references>
      </pivotArea>
    </format>
    <format dxfId="926">
      <pivotArea dataOnly="0" labelOnly="1" outline="0" fieldPosition="0">
        <references count="4">
          <reference field="0" count="1" selected="0">
            <x v="420"/>
          </reference>
          <reference field="5" count="1" selected="0">
            <x v="0"/>
          </reference>
          <reference field="7" count="1">
            <x v="163"/>
          </reference>
          <reference field="10" count="1" selected="0">
            <x v="0"/>
          </reference>
        </references>
      </pivotArea>
    </format>
    <format dxfId="927">
      <pivotArea dataOnly="0" labelOnly="1" outline="0" fieldPosition="0">
        <references count="4">
          <reference field="0" count="1" selected="0">
            <x v="424"/>
          </reference>
          <reference field="5" count="1" selected="0">
            <x v="2"/>
          </reference>
          <reference field="7" count="1">
            <x v="130"/>
          </reference>
          <reference field="10" count="1" selected="0">
            <x v="2"/>
          </reference>
        </references>
      </pivotArea>
    </format>
    <format dxfId="928">
      <pivotArea dataOnly="0" labelOnly="1" outline="0" fieldPosition="0">
        <references count="4">
          <reference field="0" count="1" selected="0">
            <x v="427"/>
          </reference>
          <reference field="5" count="1" selected="0">
            <x v="3"/>
          </reference>
          <reference field="7" count="1">
            <x v="246"/>
          </reference>
          <reference field="10" count="1" selected="0">
            <x v="0"/>
          </reference>
        </references>
      </pivotArea>
    </format>
    <format dxfId="929">
      <pivotArea dataOnly="0" labelOnly="1" outline="0" fieldPosition="0">
        <references count="4">
          <reference field="0" count="1" selected="0">
            <x v="437"/>
          </reference>
          <reference field="5" count="1" selected="0">
            <x v="5"/>
          </reference>
          <reference field="7" count="1">
            <x v="25"/>
          </reference>
          <reference field="10" count="1" selected="0">
            <x v="0"/>
          </reference>
        </references>
      </pivotArea>
    </format>
    <format dxfId="930">
      <pivotArea dataOnly="0" labelOnly="1" outline="0" fieldPosition="0">
        <references count="4">
          <reference field="0" count="1" selected="0">
            <x v="443"/>
          </reference>
          <reference field="5" count="1" selected="0">
            <x v="5"/>
          </reference>
          <reference field="7" count="1">
            <x v="344"/>
          </reference>
          <reference field="10" count="1" selected="0">
            <x v="1"/>
          </reference>
        </references>
      </pivotArea>
    </format>
    <format dxfId="931">
      <pivotArea dataOnly="0" labelOnly="1" outline="0" fieldPosition="0">
        <references count="4">
          <reference field="0" count="1" selected="0">
            <x v="446"/>
          </reference>
          <reference field="5" count="1" selected="0">
            <x v="4"/>
          </reference>
          <reference field="7" count="1">
            <x v="139"/>
          </reference>
          <reference field="10" count="1" selected="0">
            <x v="1"/>
          </reference>
        </references>
      </pivotArea>
    </format>
    <format dxfId="932">
      <pivotArea dataOnly="0" labelOnly="1" outline="0" fieldPosition="0">
        <references count="4">
          <reference field="0" count="1" selected="0">
            <x v="457"/>
          </reference>
          <reference field="5" count="1" selected="0">
            <x v="3"/>
          </reference>
          <reference field="7" count="1">
            <x v="54"/>
          </reference>
          <reference field="10" count="1" selected="0">
            <x v="0"/>
          </reference>
        </references>
      </pivotArea>
    </format>
    <format dxfId="933">
      <pivotArea dataOnly="0" labelOnly="1" outline="0" fieldPosition="0">
        <references count="4">
          <reference field="0" count="1" selected="0">
            <x v="468"/>
          </reference>
          <reference field="5" count="1" selected="0">
            <x v="4"/>
          </reference>
          <reference field="7" count="1">
            <x v="234"/>
          </reference>
          <reference field="10" count="1" selected="0">
            <x v="1"/>
          </reference>
        </references>
      </pivotArea>
    </format>
    <format dxfId="934">
      <pivotArea dataOnly="0" labelOnly="1" outline="0" fieldPosition="0">
        <references count="4">
          <reference field="0" count="1" selected="0">
            <x v="472"/>
          </reference>
          <reference field="5" count="1" selected="0">
            <x v="2"/>
          </reference>
          <reference field="7" count="1">
            <x v="141"/>
          </reference>
          <reference field="10" count="1" selected="0">
            <x v="1"/>
          </reference>
        </references>
      </pivotArea>
    </format>
    <format dxfId="935">
      <pivotArea dataOnly="0" labelOnly="1" outline="0" fieldPosition="0">
        <references count="4">
          <reference field="0" count="1" selected="0">
            <x v="476"/>
          </reference>
          <reference field="5" count="1" selected="0">
            <x v="4"/>
          </reference>
          <reference field="7" count="1">
            <x v="180"/>
          </reference>
          <reference field="10" count="1" selected="0">
            <x v="2"/>
          </reference>
        </references>
      </pivotArea>
    </format>
    <format dxfId="936">
      <pivotArea dataOnly="0" labelOnly="1" outline="0" fieldPosition="0">
        <references count="4">
          <reference field="0" count="1" selected="0">
            <x v="478"/>
          </reference>
          <reference field="5" count="1" selected="0">
            <x v="5"/>
          </reference>
          <reference field="7" count="1">
            <x v="293"/>
          </reference>
          <reference field="10" count="1" selected="0">
            <x v="2"/>
          </reference>
        </references>
      </pivotArea>
    </format>
    <format dxfId="937">
      <pivotArea dataOnly="0" labelOnly="1" outline="0" fieldPosition="0">
        <references count="4">
          <reference field="0" count="1" selected="0">
            <x v="479"/>
          </reference>
          <reference field="5" count="1" selected="0">
            <x v="2"/>
          </reference>
          <reference field="7" count="1">
            <x v="18"/>
          </reference>
          <reference field="10" count="1" selected="0">
            <x v="2"/>
          </reference>
        </references>
      </pivotArea>
    </format>
    <format dxfId="938">
      <pivotArea dataOnly="0" labelOnly="1" outline="0" fieldPosition="0">
        <references count="4">
          <reference field="0" count="1" selected="0">
            <x v="483"/>
          </reference>
          <reference field="5" count="1" selected="0">
            <x v="3"/>
          </reference>
          <reference field="7" count="1">
            <x v="264"/>
          </reference>
          <reference field="10" count="1" selected="0">
            <x v="1"/>
          </reference>
        </references>
      </pivotArea>
    </format>
    <format dxfId="939">
      <pivotArea dataOnly="0" labelOnly="1" outline="0" fieldPosition="0">
        <references count="4">
          <reference field="0" count="1" selected="0">
            <x v="488"/>
          </reference>
          <reference field="5" count="1" selected="0">
            <x v="1"/>
          </reference>
          <reference field="7" count="1">
            <x v="137"/>
          </reference>
          <reference field="10" count="1" selected="0">
            <x v="1"/>
          </reference>
        </references>
      </pivotArea>
    </format>
    <format dxfId="940">
      <pivotArea dataOnly="0" labelOnly="1" outline="0" fieldPosition="0">
        <references count="4">
          <reference field="0" count="1" selected="0">
            <x v="490"/>
          </reference>
          <reference field="5" count="1" selected="0">
            <x v="4"/>
          </reference>
          <reference field="7" count="1">
            <x v="2"/>
          </reference>
          <reference field="10" count="1" selected="0">
            <x v="0"/>
          </reference>
        </references>
      </pivotArea>
    </format>
    <format dxfId="941">
      <pivotArea dataOnly="0" labelOnly="1" outline="0" fieldPosition="0">
        <references count="4">
          <reference field="0" count="1" selected="0">
            <x v="494"/>
          </reference>
          <reference field="5" count="1" selected="0">
            <x v="4"/>
          </reference>
          <reference field="7" count="1">
            <x v="132"/>
          </reference>
          <reference field="10" count="1" selected="0">
            <x v="1"/>
          </reference>
        </references>
      </pivotArea>
    </format>
    <format dxfId="942">
      <pivotArea dataOnly="0" labelOnly="1" outline="0" fieldPosition="0">
        <references count="4">
          <reference field="0" count="1" selected="0">
            <x v="502"/>
          </reference>
          <reference field="5" count="1" selected="0">
            <x v="4"/>
          </reference>
          <reference field="7" count="1">
            <x v="3"/>
          </reference>
          <reference field="10" count="1" selected="0">
            <x v="2"/>
          </reference>
        </references>
      </pivotArea>
    </format>
    <format dxfId="943">
      <pivotArea dataOnly="0" labelOnly="1" outline="0" fieldPosition="0">
        <references count="4">
          <reference field="0" count="1" selected="0">
            <x v="514"/>
          </reference>
          <reference field="5" count="1" selected="0">
            <x v="5"/>
          </reference>
          <reference field="7" count="1">
            <x v="122"/>
          </reference>
          <reference field="10" count="1" selected="0">
            <x v="1"/>
          </reference>
        </references>
      </pivotArea>
    </format>
    <format dxfId="944">
      <pivotArea dataOnly="0" labelOnly="1" outline="0" fieldPosition="0">
        <references count="4">
          <reference field="0" count="1" selected="0">
            <x v="515"/>
          </reference>
          <reference field="5" count="1" selected="0">
            <x v="4"/>
          </reference>
          <reference field="7" count="1">
            <x v="36"/>
          </reference>
          <reference field="10" count="1" selected="0">
            <x v="0"/>
          </reference>
        </references>
      </pivotArea>
    </format>
    <format dxfId="945">
      <pivotArea dataOnly="0" labelOnly="1" outline="0" fieldPosition="0">
        <references count="4">
          <reference field="0" count="1" selected="0">
            <x v="523"/>
          </reference>
          <reference field="5" count="1" selected="0">
            <x v="4"/>
          </reference>
          <reference field="7" count="1">
            <x v="178"/>
          </reference>
          <reference field="10" count="1" selected="0">
            <x v="1"/>
          </reference>
        </references>
      </pivotArea>
    </format>
    <format dxfId="946">
      <pivotArea dataOnly="0" labelOnly="1" outline="0" fieldPosition="0">
        <references count="4">
          <reference field="0" count="1" selected="0">
            <x v="528"/>
          </reference>
          <reference field="5" count="1" selected="0">
            <x v="4"/>
          </reference>
          <reference field="7" count="1">
            <x v="66"/>
          </reference>
          <reference field="10" count="1" selected="0">
            <x v="2"/>
          </reference>
        </references>
      </pivotArea>
    </format>
    <format dxfId="947">
      <pivotArea dataOnly="0" labelOnly="1" outline="0" fieldPosition="0">
        <references count="4">
          <reference field="0" count="1" selected="0">
            <x v="535"/>
          </reference>
          <reference field="5" count="1" selected="0">
            <x v="4"/>
          </reference>
          <reference field="7" count="1">
            <x v="179"/>
          </reference>
          <reference field="10" count="1" selected="0">
            <x v="2"/>
          </reference>
        </references>
      </pivotArea>
    </format>
    <format dxfId="948">
      <pivotArea dataOnly="0" labelOnly="1" outline="0" fieldPosition="0">
        <references count="4">
          <reference field="0" count="1" selected="0">
            <x v="541"/>
          </reference>
          <reference field="5" count="1" selected="0">
            <x v="4"/>
          </reference>
          <reference field="7" count="1">
            <x v="226"/>
          </reference>
          <reference field="10" count="1" selected="0">
            <x v="2"/>
          </reference>
        </references>
      </pivotArea>
    </format>
    <format dxfId="949">
      <pivotArea dataOnly="0" labelOnly="1" outline="0" fieldPosition="0">
        <references count="4">
          <reference field="0" count="1" selected="0">
            <x v="549"/>
          </reference>
          <reference field="5" count="1" selected="0">
            <x v="5"/>
          </reference>
          <reference field="7" count="1">
            <x v="211"/>
          </reference>
          <reference field="10" count="1" selected="0">
            <x v="2"/>
          </reference>
        </references>
      </pivotArea>
    </format>
    <format dxfId="950">
      <pivotArea dataOnly="0" labelOnly="1" outline="0" fieldPosition="0">
        <references count="4">
          <reference field="0" count="1" selected="0">
            <x v="552"/>
          </reference>
          <reference field="5" count="1" selected="0">
            <x v="2"/>
          </reference>
          <reference field="7" count="1">
            <x v="142"/>
          </reference>
          <reference field="10" count="1" selected="0">
            <x v="2"/>
          </reference>
        </references>
      </pivotArea>
    </format>
    <format dxfId="951">
      <pivotArea dataOnly="0" labelOnly="1" outline="0" fieldPosition="0">
        <references count="4">
          <reference field="0" count="1" selected="0">
            <x v="565"/>
          </reference>
          <reference field="5" count="1" selected="0">
            <x v="4"/>
          </reference>
          <reference field="7" count="1">
            <x v="127"/>
          </reference>
          <reference field="10" count="1" selected="0">
            <x v="1"/>
          </reference>
        </references>
      </pivotArea>
    </format>
    <format dxfId="952">
      <pivotArea dataOnly="0" labelOnly="1" outline="0" fieldPosition="0">
        <references count="4">
          <reference field="0" count="1" selected="0">
            <x v="566"/>
          </reference>
          <reference field="5" count="1" selected="0">
            <x v="4"/>
          </reference>
          <reference field="7" count="1">
            <x v="47"/>
          </reference>
          <reference field="10" count="1" selected="0">
            <x v="1"/>
          </reference>
        </references>
      </pivotArea>
    </format>
    <format dxfId="953">
      <pivotArea dataOnly="0" labelOnly="1" outline="0" fieldPosition="0">
        <references count="4">
          <reference field="0" count="1" selected="0">
            <x v="573"/>
          </reference>
          <reference field="5" count="1" selected="0">
            <x v="4"/>
          </reference>
          <reference field="7" count="1">
            <x v="0"/>
          </reference>
          <reference field="10" count="1" selected="0">
            <x v="1"/>
          </reference>
        </references>
      </pivotArea>
    </format>
    <format dxfId="954">
      <pivotArea dataOnly="0" labelOnly="1" outline="0" fieldPosition="0">
        <references count="4">
          <reference field="0" count="1" selected="0">
            <x v="575"/>
          </reference>
          <reference field="5" count="1" selected="0">
            <x v="4"/>
          </reference>
          <reference field="7" count="1">
            <x v="17"/>
          </reference>
          <reference field="10" count="1" selected="0">
            <x v="2"/>
          </reference>
        </references>
      </pivotArea>
    </format>
    <format dxfId="955">
      <pivotArea dataOnly="0" labelOnly="1" outline="0" fieldPosition="0">
        <references count="4">
          <reference field="0" count="1" selected="0">
            <x v="576"/>
          </reference>
          <reference field="5" count="1" selected="0">
            <x v="4"/>
          </reference>
          <reference field="7" count="1">
            <x v="69"/>
          </reference>
          <reference field="10" count="1" selected="0">
            <x v="1"/>
          </reference>
        </references>
      </pivotArea>
    </format>
    <format dxfId="956">
      <pivotArea dataOnly="0" labelOnly="1" outline="0" fieldPosition="0">
        <references count="4">
          <reference field="0" count="1" selected="0">
            <x v="585"/>
          </reference>
          <reference field="5" count="1" selected="0">
            <x v="3"/>
          </reference>
          <reference field="7" count="1">
            <x v="34"/>
          </reference>
          <reference field="10" count="1" selected="0">
            <x v="0"/>
          </reference>
        </references>
      </pivotArea>
    </format>
    <format dxfId="957">
      <pivotArea dataOnly="0" labelOnly="1" outline="0" fieldPosition="0">
        <references count="5">
          <reference field="0" count="1" selected="0">
            <x v="2"/>
          </reference>
          <reference field="5" count="1" selected="0">
            <x v="4"/>
          </reference>
          <reference field="7" count="1" selected="0">
            <x v="48"/>
          </reference>
          <reference field="8" count="1">
            <x v="0"/>
          </reference>
          <reference field="10" count="1" selected="0">
            <x v="2"/>
          </reference>
        </references>
      </pivotArea>
    </format>
    <format dxfId="958">
      <pivotArea dataOnly="0" labelOnly="1" outline="0" fieldPosition="0">
        <references count="5">
          <reference field="0" count="1" selected="0">
            <x v="240"/>
          </reference>
          <reference field="5" count="1" selected="0">
            <x v="4"/>
          </reference>
          <reference field="7" count="1" selected="0">
            <x v="104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959">
      <pivotArea dataOnly="0" labelOnly="1" outline="0" fieldPosition="0">
        <references count="5">
          <reference field="0" count="1" selected="0">
            <x v="247"/>
          </reference>
          <reference field="5" count="1" selected="0">
            <x v="4"/>
          </reference>
          <reference field="7" count="1" selected="0">
            <x v="0"/>
          </reference>
          <reference field="8" count="1">
            <x v="0"/>
          </reference>
          <reference field="10" count="1" selected="0">
            <x v="1"/>
          </reference>
        </references>
      </pivotArea>
    </format>
    <format dxfId="960">
      <pivotArea dataOnly="0" labelOnly="1" outline="0" fieldPosition="0">
        <references count="5">
          <reference field="0" count="1" selected="0">
            <x v="490"/>
          </reference>
          <reference field="5" count="1" selected="0">
            <x v="4"/>
          </reference>
          <reference field="7" count="1" selected="0">
            <x v="2"/>
          </reference>
          <reference field="8" count="1">
            <x v="1"/>
          </reference>
          <reference field="10" count="1" selected="0">
            <x v="0"/>
          </reference>
        </references>
      </pivotArea>
    </format>
    <format dxfId="961">
      <pivotArea dataOnly="0" labelOnly="1" outline="0" fieldPosition="0">
        <references count="5">
          <reference field="0" count="1" selected="0">
            <x v="494"/>
          </reference>
          <reference field="5" count="1" selected="0">
            <x v="4"/>
          </reference>
          <reference field="7" count="1" selected="0">
            <x v="132"/>
          </reference>
          <reference field="8" count="1">
            <x v="0"/>
          </reference>
          <reference field="10" count="1" selected="0">
            <x v="1"/>
          </reference>
        </references>
      </pivotArea>
    </format>
    <format dxfId="962">
      <pivotArea dataOnly="0" labelOnly="1" outline="0" fieldPosition="0">
        <references count="5">
          <reference field="0" count="1" selected="0">
            <x v="565"/>
          </reference>
          <reference field="5" count="1" selected="0">
            <x v="4"/>
          </reference>
          <reference field="7" count="1" selected="0">
            <x v="127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963">
      <pivotArea dataOnly="0" labelOnly="1" outline="0" fieldPosition="0">
        <references count="5">
          <reference field="0" count="1" selected="0">
            <x v="566"/>
          </reference>
          <reference field="5" count="1" selected="0">
            <x v="4"/>
          </reference>
          <reference field="7" count="1" selected="0">
            <x v="47"/>
          </reference>
          <reference field="8" count="1">
            <x v="0"/>
          </reference>
          <reference field="10" count="1" selected="0">
            <x v="1"/>
          </reference>
        </references>
      </pivotArea>
    </format>
    <format dxfId="964">
      <pivotArea dataOnly="0" labelOnly="1" outline="0" fieldPosition="0">
        <references count="5">
          <reference field="0" count="1" selected="0">
            <x v="576"/>
          </reference>
          <reference field="5" count="1" selected="0">
            <x v="4"/>
          </reference>
          <reference field="7" count="1" selected="0">
            <x v="69"/>
          </reference>
          <reference field="8" count="1">
            <x v="1"/>
          </reference>
          <reference field="10" count="1" selected="0">
            <x v="1"/>
          </reference>
        </references>
      </pivotArea>
    </format>
    <format dxfId="965">
      <pivotArea dataOnly="0" labelOnly="1" outline="0" fieldPosition="0">
        <references count="5">
          <reference field="0" count="1" selected="0">
            <x v="585"/>
          </reference>
          <reference field="5" count="1" selected="0">
            <x v="3"/>
          </reference>
          <reference field="7" count="1" selected="0">
            <x v="34"/>
          </reference>
          <reference field="8" count="1">
            <x v="0"/>
          </reference>
          <reference field="10" count="1" selected="0">
            <x v="0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2"/>
          </reference>
          <reference field="5" count="1" selected="0">
            <x v="4"/>
          </reference>
          <reference field="7" count="1" selected="0">
            <x v="48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4"/>
          </reference>
          <reference field="5" count="1" selected="0">
            <x v="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7"/>
          </reference>
          <reference field="5" count="1" selected="0">
            <x v="2"/>
          </reference>
          <reference field="7" count="1" selected="0">
            <x v="4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12"/>
          </reference>
          <reference field="5" count="1" selected="0">
            <x v="5"/>
          </reference>
          <reference field="7" count="1" selected="0">
            <x v="1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14"/>
          </reference>
          <reference field="5" count="1" selected="0">
            <x v="4"/>
          </reference>
          <reference field="7" count="1" selected="0">
            <x v="29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36"/>
          </reference>
          <reference field="5" count="1" selected="0">
            <x v="4"/>
          </reference>
          <reference field="7" count="1" selected="0">
            <x v="275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42"/>
          </reference>
          <reference field="5" count="1" selected="0">
            <x v="0"/>
          </reference>
          <reference field="7" count="1" selected="0">
            <x v="316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48"/>
          </reference>
          <reference field="5" count="1" selected="0">
            <x v="2"/>
          </reference>
          <reference field="7" count="1" selected="0">
            <x v="12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62"/>
          </reference>
          <reference field="5" count="1" selected="0">
            <x v="0"/>
          </reference>
          <reference field="7" count="1" selected="0">
            <x v="276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68"/>
          </reference>
          <reference field="5" count="1" selected="0">
            <x v="2"/>
          </reference>
          <reference field="7" count="1" selected="0">
            <x v="16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74"/>
          </reference>
          <reference field="5" count="1" selected="0">
            <x v="4"/>
          </reference>
          <reference field="7" count="1" selected="0">
            <x v="131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75"/>
          </reference>
          <reference field="5" count="1" selected="0">
            <x v="4"/>
          </reference>
          <reference field="7" count="1" selected="0">
            <x v="355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77"/>
          </reference>
          <reference field="5" count="1" selected="0">
            <x v="2"/>
          </reference>
          <reference field="7" count="1" selected="0">
            <x v="4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78"/>
          </reference>
          <reference field="5" count="1" selected="0">
            <x v="4"/>
          </reference>
          <reference field="7" count="1" selected="0">
            <x v="7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87"/>
          </reference>
          <reference field="5" count="1" selected="0">
            <x v="2"/>
          </reference>
          <reference field="7" count="1" selected="0">
            <x v="112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90"/>
          </reference>
          <reference field="5" count="1" selected="0">
            <x v="1"/>
          </reference>
          <reference field="7" count="1" selected="0">
            <x v="255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103"/>
          </reference>
          <reference field="5" count="1" selected="0">
            <x v="2"/>
          </reference>
          <reference field="7" count="1" selected="0">
            <x v="6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111"/>
          </reference>
          <reference field="5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112"/>
          </reference>
          <reference field="5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113"/>
          </reference>
          <reference field="5" count="1" selected="0">
            <x v="3"/>
          </reference>
          <reference field="7" count="1" selected="0">
            <x v="2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119"/>
          </reference>
          <reference field="5" count="1" selected="0">
            <x v="5"/>
          </reference>
          <reference field="7" count="1" selected="0">
            <x v="3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123"/>
          </reference>
          <reference field="5" count="1" selected="0">
            <x v="4"/>
          </reference>
          <reference field="7" count="1" selected="0">
            <x v="24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125"/>
          </reference>
          <reference field="5" count="1" selected="0">
            <x v="3"/>
          </reference>
          <reference field="7" count="1" selected="0">
            <x v="24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126"/>
          </reference>
          <reference field="5" count="1" selected="0">
            <x v="4"/>
          </reference>
          <reference field="7" count="1" selected="0">
            <x v="36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129"/>
          </reference>
          <reference field="5" count="1" selected="0">
            <x v="2"/>
          </reference>
          <reference field="7" count="1" selected="0">
            <x v="223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134"/>
          </reference>
          <reference field="5" count="1" selected="0">
            <x v="4"/>
          </reference>
          <reference field="7" count="1" selected="0">
            <x v="9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138"/>
          </reference>
          <reference field="5" count="1" selected="0">
            <x v="4"/>
          </reference>
          <reference field="7" count="1" selected="0">
            <x v="161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148"/>
          </reference>
          <reference field="5" count="1" selected="0">
            <x v="0"/>
          </reference>
          <reference field="7" count="1" selected="0">
            <x v="196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149"/>
          </reference>
          <reference field="5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150"/>
          </reference>
          <reference field="5" count="1" selected="0">
            <x v="0"/>
          </reference>
          <reference field="7" count="1" selected="0">
            <x v="115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152"/>
          </reference>
          <reference field="5" count="1" selected="0">
            <x v="4"/>
          </reference>
          <reference field="7" count="1" selected="0">
            <x v="17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155"/>
          </reference>
          <reference field="5" count="1" selected="0">
            <x v="2"/>
          </reference>
          <reference field="7" count="1" selected="0">
            <x v="48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159"/>
          </reference>
          <reference field="5" count="1" selected="0">
            <x v="3"/>
          </reference>
          <reference field="7" count="1" selected="0">
            <x v="35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169"/>
          </reference>
          <reference field="5" count="1" selected="0">
            <x v="2"/>
          </reference>
          <reference field="7" count="1" selected="0">
            <x v="42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171"/>
          </reference>
          <reference field="5" count="1" selected="0">
            <x v="5"/>
          </reference>
          <reference field="7" count="1" selected="0">
            <x v="26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177"/>
          </reference>
          <reference field="5" count="1" selected="0">
            <x v="3"/>
          </reference>
          <reference field="7" count="1" selected="0">
            <x v="16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190"/>
          </reference>
          <reference field="5" count="1" selected="0">
            <x v="4"/>
          </reference>
          <reference field="7" count="1" selected="0">
            <x v="295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191"/>
          </reference>
          <reference field="5" count="1" selected="0">
            <x v="1"/>
          </reference>
          <reference field="7" count="1" selected="0">
            <x v="58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211"/>
          </reference>
          <reference field="5" count="1" selected="0">
            <x v="5"/>
          </reference>
          <reference field="7" count="1" selected="0">
            <x v="248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217"/>
          </reference>
          <reference field="5" count="1" selected="0">
            <x v="3"/>
          </reference>
          <reference field="7" count="1" selected="0">
            <x v="209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229"/>
          </reference>
          <reference field="5" count="1" selected="0">
            <x v="2"/>
          </reference>
          <reference field="7" count="1" selected="0">
            <x v="136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240"/>
          </reference>
          <reference field="5" count="1" selected="0">
            <x v="4"/>
          </reference>
          <reference field="7" count="1" selected="0">
            <x v="104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247"/>
          </reference>
          <reference field="5" count="1" selected="0">
            <x v="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255"/>
          </reference>
          <reference field="5" count="1" selected="0">
            <x v="5"/>
          </reference>
          <reference field="7" count="1" selected="0">
            <x v="11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263"/>
          </reference>
          <reference field="5" count="1" selected="0">
            <x v="3"/>
          </reference>
          <reference field="7" count="1" selected="0">
            <x v="30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270"/>
          </reference>
          <reference field="5" count="1" selected="0">
            <x v="0"/>
          </reference>
          <reference field="7" count="1" selected="0">
            <x v="41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272"/>
          </reference>
          <reference field="5" count="1" selected="0">
            <x v="0"/>
          </reference>
          <reference field="7" count="1" selected="0">
            <x v="11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277"/>
          </reference>
          <reference field="5" count="1" selected="0">
            <x v="4"/>
          </reference>
          <reference field="7" count="1" selected="0">
            <x v="288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282"/>
          </reference>
          <reference field="5" count="1" selected="0">
            <x v="3"/>
          </reference>
          <reference field="7" count="1" selected="0">
            <x v="300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283"/>
          </reference>
          <reference field="5" count="1" selected="0">
            <x v="3"/>
          </reference>
          <reference field="7" count="1" selected="0">
            <x v="172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286"/>
          </reference>
          <reference field="5" count="1" selected="0">
            <x v="1"/>
          </reference>
          <reference field="7" count="1" selected="0">
            <x v="83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289"/>
          </reference>
          <reference field="5" count="1" selected="0">
            <x v="3"/>
          </reference>
          <reference field="7" count="1" selected="0">
            <x v="28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291"/>
          </reference>
          <reference field="5" count="1" selected="0">
            <x v="5"/>
          </reference>
          <reference field="7" count="1" selected="0">
            <x v="24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298"/>
          </reference>
          <reference field="5" count="1" selected="0">
            <x v="4"/>
          </reference>
          <reference field="7" count="1" selected="0">
            <x v="24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300"/>
          </reference>
          <reference field="5" count="1" selected="0">
            <x v="5"/>
          </reference>
          <reference field="7" count="1" selected="0">
            <x v="19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302"/>
          </reference>
          <reference field="5" count="1" selected="0">
            <x v="4"/>
          </reference>
          <reference field="7" count="1" selected="0">
            <x v="239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306"/>
          </reference>
          <reference field="5" count="1" selected="0">
            <x v="4"/>
          </reference>
          <reference field="7" count="1" selected="0">
            <x v="119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309"/>
          </reference>
          <reference field="5" count="1" selected="0">
            <x v="3"/>
          </reference>
          <reference field="7" count="1" selected="0">
            <x v="49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315"/>
          </reference>
          <reference field="5" count="1" selected="0">
            <x v="4"/>
          </reference>
          <reference field="7" count="1" selected="0">
            <x v="22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325"/>
          </reference>
          <reference field="5" count="1" selected="0">
            <x v="3"/>
          </reference>
          <reference field="7" count="1" selected="0">
            <x v="227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330"/>
          </reference>
          <reference field="5" count="1" selected="0">
            <x v="2"/>
          </reference>
          <reference field="7" count="1" selected="0">
            <x v="62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336"/>
          </reference>
          <reference field="5" count="1" selected="0">
            <x v="5"/>
          </reference>
          <reference field="7" count="1" selected="0">
            <x v="272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339"/>
          </reference>
          <reference field="5" count="1" selected="0">
            <x v="4"/>
          </reference>
          <reference field="7" count="1" selected="0">
            <x v="15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340"/>
          </reference>
          <reference field="5" count="1" selected="0">
            <x v="4"/>
          </reference>
          <reference field="7" count="1" selected="0">
            <x v="93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342"/>
          </reference>
          <reference field="5" count="1" selected="0">
            <x v="2"/>
          </reference>
          <reference field="7" count="1" selected="0">
            <x v="14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348"/>
          </reference>
          <reference field="5" count="1" selected="0">
            <x v="0"/>
          </reference>
          <reference field="7" count="1" selected="0">
            <x v="32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349"/>
          </reference>
          <reference field="5" count="1" selected="0">
            <x v="5"/>
          </reference>
          <reference field="7" count="1" selected="0">
            <x v="352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353"/>
          </reference>
          <reference field="5" count="1" selected="0">
            <x v="2"/>
          </reference>
          <reference field="7" count="1" selected="0">
            <x v="19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356"/>
          </reference>
          <reference field="5" count="1" selected="0">
            <x v="0"/>
          </reference>
          <reference field="7" count="1" selected="0">
            <x v="8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357"/>
          </reference>
          <reference field="5" count="1" selected="0">
            <x v="5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359"/>
          </reference>
          <reference field="5" count="1" selected="0">
            <x v="5"/>
          </reference>
          <reference field="7" count="1" selected="0">
            <x v="269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372"/>
          </reference>
          <reference field="5" count="1" selected="0">
            <x v="4"/>
          </reference>
          <reference field="7" count="1" selected="0">
            <x v="75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374"/>
          </reference>
          <reference field="5" count="1" selected="0">
            <x v="4"/>
          </reference>
          <reference field="7" count="1" selected="0">
            <x v="3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376"/>
          </reference>
          <reference field="5" count="1" selected="0">
            <x v="3"/>
          </reference>
          <reference field="7" count="1" selected="0">
            <x v="20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390"/>
          </reference>
          <reference field="5" count="1" selected="0">
            <x v="3"/>
          </reference>
          <reference field="7" count="1" selected="0">
            <x v="5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399"/>
          </reference>
          <reference field="5" count="1" selected="0">
            <x v="3"/>
          </reference>
          <reference field="7" count="1" selected="0">
            <x v="25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400"/>
          </reference>
          <reference field="5" count="1" selected="0">
            <x v="6"/>
          </reference>
          <reference field="7" count="1" selected="0">
            <x v="23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415"/>
          </reference>
          <reference field="5" count="1" selected="0">
            <x v="3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417"/>
          </reference>
          <reference field="5" count="1" selected="0">
            <x v="3"/>
          </reference>
          <reference field="7" count="1" selected="0">
            <x v="66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420"/>
          </reference>
          <reference field="5" count="1" selected="0">
            <x v="0"/>
          </reference>
          <reference field="7" count="1" selected="0">
            <x v="163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424"/>
          </reference>
          <reference field="5" count="1" selected="0">
            <x v="2"/>
          </reference>
          <reference field="7" count="1" selected="0">
            <x v="13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427"/>
          </reference>
          <reference field="5" count="1" selected="0">
            <x v="3"/>
          </reference>
          <reference field="7" count="1" selected="0">
            <x v="246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437"/>
          </reference>
          <reference field="5" count="1" selected="0">
            <x v="5"/>
          </reference>
          <reference field="7" count="1" selected="0">
            <x v="25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443"/>
          </reference>
          <reference field="5" count="1" selected="0">
            <x v="5"/>
          </reference>
          <reference field="7" count="1" selected="0">
            <x v="344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446"/>
          </reference>
          <reference field="5" count="1" selected="0">
            <x v="4"/>
          </reference>
          <reference field="7" count="1" selected="0">
            <x v="139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457"/>
          </reference>
          <reference field="5" count="1" selected="0">
            <x v="3"/>
          </reference>
          <reference field="7" count="1" selected="0">
            <x v="5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468"/>
          </reference>
          <reference field="5" count="1" selected="0">
            <x v="4"/>
          </reference>
          <reference field="7" count="1" selected="0">
            <x v="234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472"/>
          </reference>
          <reference field="5" count="1" selected="0">
            <x v="2"/>
          </reference>
          <reference field="7" count="1" selected="0">
            <x v="141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1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476"/>
          </reference>
          <reference field="5" count="1" selected="0">
            <x v="4"/>
          </reference>
          <reference field="7" count="1" selected="0">
            <x v="180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478"/>
          </reference>
          <reference field="5" count="1" selected="0">
            <x v="5"/>
          </reference>
          <reference field="7" count="1" selected="0">
            <x v="29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479"/>
          </reference>
          <reference field="5" count="1" selected="0">
            <x v="2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1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483"/>
          </reference>
          <reference field="5" count="1" selected="0">
            <x v="3"/>
          </reference>
          <reference field="7" count="1" selected="0">
            <x v="264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488"/>
          </reference>
          <reference field="5" count="1" selected="0">
            <x v="1"/>
          </reference>
          <reference field="7" count="1" selected="0">
            <x v="137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490"/>
          </reference>
          <reference field="5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494"/>
          </reference>
          <reference field="5" count="1" selected="0">
            <x v="4"/>
          </reference>
          <reference field="7" count="1" selected="0">
            <x v="132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502"/>
          </reference>
          <reference field="5" count="1" selected="0">
            <x v="4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514"/>
          </reference>
          <reference field="5" count="1" selected="0">
            <x v="5"/>
          </reference>
          <reference field="7" count="1" selected="0">
            <x v="122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515"/>
          </reference>
          <reference field="5" count="1" selected="0">
            <x v="4"/>
          </reference>
          <reference field="7" count="1" selected="0">
            <x v="36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0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523"/>
          </reference>
          <reference field="5" count="1" selected="0">
            <x v="4"/>
          </reference>
          <reference field="7" count="1" selected="0">
            <x v="178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528"/>
          </reference>
          <reference field="5" count="1" selected="0">
            <x v="4"/>
          </reference>
          <reference field="7" count="1" selected="0">
            <x v="6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535"/>
          </reference>
          <reference field="5" count="1" selected="0">
            <x v="4"/>
          </reference>
          <reference field="7" count="1" selected="0">
            <x v="179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541"/>
          </reference>
          <reference field="5" count="1" selected="0">
            <x v="4"/>
          </reference>
          <reference field="7" count="1" selected="0">
            <x v="226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549"/>
          </reference>
          <reference field="5" count="1" selected="0">
            <x v="5"/>
          </reference>
          <reference field="7" count="1" selected="0">
            <x v="211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552"/>
          </reference>
          <reference field="5" count="1" selected="0">
            <x v="2"/>
          </reference>
          <reference field="7" count="1" selected="0">
            <x v="142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565"/>
          </reference>
          <reference field="5" count="1" selected="0">
            <x v="4"/>
          </reference>
          <reference field="7" count="1" selected="0">
            <x v="127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566"/>
          </reference>
          <reference field="5" count="1" selected="0">
            <x v="4"/>
          </reference>
          <reference field="7" count="1" selected="0">
            <x v="47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573"/>
          </reference>
          <reference field="5" count="1" selected="0">
            <x v="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575"/>
          </reference>
          <reference field="5" count="1" selected="0">
            <x v="4"/>
          </reference>
          <reference field="7" count="1" selected="0">
            <x v="17"/>
          </reference>
          <reference field="8" count="1" selected="0">
            <x v="0"/>
          </reference>
          <reference field="10" count="1" selected="0">
            <x v="2"/>
          </reference>
          <reference field="17" count="1">
            <x v="0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576"/>
          </reference>
          <reference field="5" count="1" selected="0">
            <x v="4"/>
          </reference>
          <reference field="7" count="1" selected="0">
            <x v="69"/>
          </reference>
          <reference field="8" count="1" selected="0">
            <x v="1"/>
          </reference>
          <reference field="10" count="1" selected="0">
            <x v="1"/>
          </reference>
          <reference field="17" count="1">
            <x v="0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585"/>
          </reference>
          <reference field="5" count="1" selected="0">
            <x v="3"/>
          </reference>
          <reference field="7" count="1" selected="0">
            <x v="34"/>
          </reference>
          <reference field="8" count="1" selected="0">
            <x v="0"/>
          </reference>
          <reference field="10" count="1" selected="0">
            <x v="0"/>
          </reference>
          <reference field="17" count="1">
            <x v="1"/>
          </reference>
        </references>
      </pivotArea>
    </format>
  </formats>
  <conditionalFormats count="4">
    <conditionalFormat priority="1">
      <pivotAreas count="1">
        <pivotArea type="data" outline="0" collapsedLevelsAreSubtotals="1" fieldPosition="0">
          <references count="7">
            <reference field="4294967294" count="1" selected="0">
              <x v="0"/>
            </reference>
            <reference field="0" count="110" selected="0">
              <x v="2"/>
              <x v="4"/>
              <x v="7"/>
              <x v="12"/>
              <x v="14"/>
              <x v="36"/>
              <x v="42"/>
              <x v="48"/>
              <x v="62"/>
              <x v="68"/>
              <x v="74"/>
              <x v="75"/>
              <x v="77"/>
              <x v="78"/>
              <x v="87"/>
              <x v="90"/>
              <x v="103"/>
              <x v="111"/>
              <x v="112"/>
              <x v="113"/>
              <x v="119"/>
              <x v="123"/>
              <x v="125"/>
              <x v="126"/>
              <x v="129"/>
              <x v="134"/>
              <x v="138"/>
              <x v="148"/>
              <x v="149"/>
              <x v="150"/>
              <x v="152"/>
              <x v="155"/>
              <x v="159"/>
              <x v="169"/>
              <x v="171"/>
              <x v="177"/>
              <x v="190"/>
              <x v="191"/>
              <x v="211"/>
              <x v="217"/>
              <x v="229"/>
              <x v="240"/>
              <x v="247"/>
              <x v="255"/>
              <x v="263"/>
              <x v="270"/>
              <x v="272"/>
              <x v="277"/>
              <x v="282"/>
              <x v="283"/>
              <x v="286"/>
              <x v="289"/>
              <x v="291"/>
              <x v="298"/>
              <x v="300"/>
              <x v="302"/>
              <x v="306"/>
              <x v="309"/>
              <x v="315"/>
              <x v="325"/>
              <x v="330"/>
              <x v="336"/>
              <x v="339"/>
              <x v="340"/>
              <x v="342"/>
              <x v="348"/>
              <x v="349"/>
              <x v="353"/>
              <x v="356"/>
              <x v="357"/>
              <x v="359"/>
              <x v="372"/>
              <x v="374"/>
              <x v="376"/>
              <x v="390"/>
              <x v="399"/>
              <x v="400"/>
              <x v="415"/>
              <x v="417"/>
              <x v="420"/>
              <x v="424"/>
              <x v="427"/>
              <x v="437"/>
              <x v="443"/>
              <x v="446"/>
              <x v="457"/>
              <x v="468"/>
              <x v="472"/>
              <x v="476"/>
              <x v="478"/>
              <x v="479"/>
              <x v="483"/>
              <x v="488"/>
              <x v="490"/>
              <x v="494"/>
              <x v="502"/>
              <x v="514"/>
              <x v="515"/>
              <x v="523"/>
              <x v="528"/>
              <x v="535"/>
              <x v="541"/>
              <x v="549"/>
              <x v="552"/>
              <x v="565"/>
              <x v="566"/>
              <x v="573"/>
              <x v="575"/>
              <x v="576"/>
              <x v="585"/>
            </reference>
            <reference field="5" count="7" selected="0">
              <x v="0"/>
              <x v="1"/>
              <x v="2"/>
              <x v="3"/>
              <x v="4"/>
              <x v="5"/>
              <x v="6"/>
            </reference>
            <reference field="7" count="99" selected="0">
              <x v="0"/>
              <x v="1"/>
              <x v="2"/>
              <x v="3"/>
              <x v="9"/>
              <x v="13"/>
              <x v="17"/>
              <x v="18"/>
              <x v="19"/>
              <x v="20"/>
              <x v="22"/>
              <x v="23"/>
              <x v="24"/>
              <x v="25"/>
              <x v="26"/>
              <x v="32"/>
              <x v="34"/>
              <x v="35"/>
              <x v="36"/>
              <x v="39"/>
              <x v="40"/>
              <x v="41"/>
              <x v="42"/>
              <x v="47"/>
              <x v="48"/>
              <x v="49"/>
              <x v="50"/>
              <x v="54"/>
              <x v="58"/>
              <x v="62"/>
              <x v="63"/>
              <x v="66"/>
              <x v="69"/>
              <x v="73"/>
              <x v="75"/>
              <x v="82"/>
              <x v="83"/>
              <x v="92"/>
              <x v="93"/>
              <x v="104"/>
              <x v="110"/>
              <x v="112"/>
              <x v="115"/>
              <x v="116"/>
              <x v="119"/>
              <x v="121"/>
              <x v="122"/>
              <x v="127"/>
              <x v="130"/>
              <x v="131"/>
              <x v="132"/>
              <x v="136"/>
              <x v="137"/>
              <x v="139"/>
              <x v="141"/>
              <x v="142"/>
              <x v="143"/>
              <x v="153"/>
              <x v="160"/>
              <x v="161"/>
              <x v="163"/>
              <x v="166"/>
              <x v="171"/>
              <x v="172"/>
              <x v="178"/>
              <x v="179"/>
              <x v="180"/>
              <x v="192"/>
              <x v="196"/>
              <x v="202"/>
              <x v="209"/>
              <x v="211"/>
              <x v="223"/>
              <x v="226"/>
              <x v="227"/>
              <x v="234"/>
              <x v="239"/>
              <x v="240"/>
              <x v="246"/>
              <x v="247"/>
              <x v="248"/>
              <x v="255"/>
              <x v="264"/>
              <x v="269"/>
              <x v="272"/>
              <x v="275"/>
              <x v="276"/>
              <x v="280"/>
              <x v="288"/>
              <x v="293"/>
              <x v="294"/>
              <x v="295"/>
              <x v="300"/>
              <x v="305"/>
              <x v="316"/>
              <x v="344"/>
              <x v="350"/>
              <x v="352"/>
              <x v="355"/>
            </reference>
            <reference field="8" count="2" selected="0">
              <x v="0"/>
              <x v="1"/>
            </reference>
            <reference field="10" count="3" selected="0">
              <x v="0"/>
              <x v="1"/>
              <x v="2"/>
            </reference>
            <reference field="17" count="2" selected="0">
              <x v="0"/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7">
            <reference field="4294967294" count="1" selected="0">
              <x v="0"/>
            </reference>
            <reference field="0" count="103" selected="0">
              <x v="6"/>
              <x v="15"/>
              <x v="16"/>
              <x v="19"/>
              <x v="20"/>
              <x v="22"/>
              <x v="24"/>
              <x v="26"/>
              <x v="39"/>
              <x v="55"/>
              <x v="58"/>
              <x v="60"/>
              <x v="79"/>
              <x v="86"/>
              <x v="89"/>
              <x v="99"/>
              <x v="105"/>
              <x v="106"/>
              <x v="115"/>
              <x v="118"/>
              <x v="131"/>
              <x v="136"/>
              <x v="139"/>
              <x v="142"/>
              <x v="147"/>
              <x v="153"/>
              <x v="156"/>
              <x v="158"/>
              <x v="160"/>
              <x v="162"/>
              <x v="170"/>
              <x v="192"/>
              <x v="193"/>
              <x v="203"/>
              <x v="215"/>
              <x v="219"/>
              <x v="222"/>
              <x v="226"/>
              <x v="231"/>
              <x v="237"/>
              <x v="253"/>
              <x v="260"/>
              <x v="264"/>
              <x v="273"/>
              <x v="276"/>
              <x v="279"/>
              <x v="280"/>
              <x v="281"/>
              <x v="288"/>
              <x v="295"/>
              <x v="303"/>
              <x v="304"/>
              <x v="307"/>
              <x v="318"/>
              <x v="327"/>
              <x v="333"/>
              <x v="341"/>
              <x v="358"/>
              <x v="366"/>
              <x v="369"/>
              <x v="373"/>
              <x v="375"/>
              <x v="380"/>
              <x v="382"/>
              <x v="387"/>
              <x v="388"/>
              <x v="398"/>
              <x v="407"/>
              <x v="429"/>
              <x v="431"/>
              <x v="434"/>
              <x v="438"/>
              <x v="440"/>
              <x v="448"/>
              <x v="449"/>
              <x v="451"/>
              <x v="452"/>
              <x v="458"/>
              <x v="461"/>
              <x v="463"/>
              <x v="466"/>
              <x v="467"/>
              <x v="473"/>
              <x v="482"/>
              <x v="487"/>
              <x v="489"/>
              <x v="495"/>
              <x v="497"/>
              <x v="508"/>
              <x v="512"/>
              <x v="526"/>
              <x v="540"/>
              <x v="544"/>
              <x v="561"/>
              <x v="563"/>
              <x v="569"/>
              <x v="578"/>
              <x v="579"/>
              <x v="582"/>
              <x v="589"/>
              <x v="590"/>
              <x v="591"/>
              <x v="599"/>
            </reference>
            <reference field="5" count="7" selected="0">
              <x v="0"/>
              <x v="1"/>
              <x v="2"/>
              <x v="3"/>
              <x v="4"/>
              <x v="5"/>
              <x v="6"/>
            </reference>
            <reference field="7" count="88" selected="0">
              <x v="4"/>
              <x v="21"/>
              <x v="29"/>
              <x v="35"/>
              <x v="46"/>
              <x v="49"/>
              <x v="50"/>
              <x v="51"/>
              <x v="53"/>
              <x v="56"/>
              <x v="84"/>
              <x v="86"/>
              <x v="87"/>
              <x v="91"/>
              <x v="94"/>
              <x v="99"/>
              <x v="100"/>
              <x v="105"/>
              <x v="110"/>
              <x v="116"/>
              <x v="120"/>
              <x v="121"/>
              <x v="126"/>
              <x v="127"/>
              <x v="133"/>
              <x v="140"/>
              <x v="143"/>
              <x v="144"/>
              <x v="147"/>
              <x v="150"/>
              <x v="152"/>
              <x v="153"/>
              <x v="155"/>
              <x v="157"/>
              <x v="161"/>
              <x v="165"/>
              <x v="180"/>
              <x v="183"/>
              <x v="184"/>
              <x v="188"/>
              <x v="193"/>
              <x v="198"/>
              <x v="199"/>
              <x v="204"/>
              <x v="207"/>
              <x v="208"/>
              <x v="209"/>
              <x v="210"/>
              <x v="212"/>
              <x v="220"/>
              <x v="224"/>
              <x v="226"/>
              <x v="227"/>
              <x v="237"/>
              <x v="240"/>
              <x v="243"/>
              <x v="249"/>
              <x v="254"/>
              <x v="256"/>
              <x v="258"/>
              <x v="260"/>
              <x v="261"/>
              <x v="264"/>
              <x v="266"/>
              <x v="272"/>
              <x v="278"/>
              <x v="280"/>
              <x v="286"/>
              <x v="292"/>
              <x v="301"/>
              <x v="309"/>
              <x v="312"/>
              <x v="313"/>
              <x v="315"/>
              <x v="321"/>
              <x v="329"/>
              <x v="332"/>
              <x v="333"/>
              <x v="337"/>
              <x v="341"/>
              <x v="342"/>
              <x v="345"/>
              <x v="347"/>
              <x v="349"/>
              <x v="356"/>
              <x v="370"/>
              <x v="372"/>
              <x v="375"/>
            </reference>
            <reference field="8" count="2" selected="0">
              <x v="0"/>
              <x v="1"/>
            </reference>
            <reference field="10" count="3" selected="0">
              <x v="0"/>
              <x v="1"/>
              <x v="2"/>
            </reference>
            <reference field="17" count="2" selected="0">
              <x v="0"/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7">
            <reference field="4294967294" count="1" selected="0">
              <x v="0"/>
            </reference>
            <reference field="0" count="65" selected="0">
              <x v="0"/>
              <x v="3"/>
              <x v="8"/>
              <x v="69"/>
              <x v="81"/>
              <x v="82"/>
              <x v="84"/>
              <x v="88"/>
              <x v="91"/>
              <x v="130"/>
              <x v="151"/>
              <x v="154"/>
              <x v="157"/>
              <x v="172"/>
              <x v="175"/>
              <x v="183"/>
              <x v="196"/>
              <x v="207"/>
              <x v="208"/>
              <x v="216"/>
              <x v="223"/>
              <x v="225"/>
              <x v="227"/>
              <x v="238"/>
              <x v="243"/>
              <x v="248"/>
              <x v="252"/>
              <x v="274"/>
              <x v="278"/>
              <x v="293"/>
              <x v="305"/>
              <x v="311"/>
              <x v="314"/>
              <x v="320"/>
              <x v="322"/>
              <x v="334"/>
              <x v="337"/>
              <x v="345"/>
              <x v="347"/>
              <x v="351"/>
              <x v="360"/>
              <x v="363"/>
              <x v="392"/>
              <x v="393"/>
              <x v="401"/>
              <x v="414"/>
              <x v="435"/>
              <x v="464"/>
              <x v="470"/>
              <x v="474"/>
              <x v="477"/>
              <x v="486"/>
              <x v="491"/>
              <x v="516"/>
              <x v="518"/>
              <x v="525"/>
              <x v="538"/>
              <x v="548"/>
              <x v="556"/>
              <x v="559"/>
              <x v="572"/>
              <x v="581"/>
              <x v="583"/>
              <x v="592"/>
              <x v="595"/>
            </reference>
            <reference field="5" count="5" selected="0">
              <x v="1"/>
              <x v="3"/>
              <x v="4"/>
              <x v="5"/>
              <x v="6"/>
            </reference>
            <reference field="7" count="60" selected="0">
              <x v="5"/>
              <x v="24"/>
              <x v="27"/>
              <x v="38"/>
              <x v="55"/>
              <x v="61"/>
              <x v="68"/>
              <x v="71"/>
              <x v="77"/>
              <x v="79"/>
              <x v="97"/>
              <x v="109"/>
              <x v="118"/>
              <x v="122"/>
              <x v="124"/>
              <x v="133"/>
              <x v="144"/>
              <x v="145"/>
              <x v="146"/>
              <x v="148"/>
              <x v="150"/>
              <x v="151"/>
              <x v="154"/>
              <x v="158"/>
              <x v="170"/>
              <x v="171"/>
              <x v="174"/>
              <x v="175"/>
              <x v="182"/>
              <x v="192"/>
              <x v="193"/>
              <x v="194"/>
              <x v="199"/>
              <x v="200"/>
              <x v="201"/>
              <x v="209"/>
              <x v="219"/>
              <x v="222"/>
              <x v="224"/>
              <x v="230"/>
              <x v="248"/>
              <x v="250"/>
              <x v="253"/>
              <x v="263"/>
              <x v="275"/>
              <x v="277"/>
              <x v="279"/>
              <x v="283"/>
              <x v="284"/>
              <x v="285"/>
              <x v="296"/>
              <x v="304"/>
              <x v="314"/>
              <x v="319"/>
              <x v="324"/>
              <x v="327"/>
              <x v="328"/>
              <x v="346"/>
              <x v="350"/>
              <x v="363"/>
            </reference>
            <reference field="8" count="2" selected="0">
              <x v="0"/>
              <x v="1"/>
            </reference>
            <reference field="10" count="3" selected="0">
              <x v="0"/>
              <x v="1"/>
              <x v="2"/>
            </reference>
            <reference field="17" count="2" selected="0">
              <x v="0"/>
              <x v="1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7">
            <reference field="4294967294" count="1" selected="0">
              <x v="0"/>
            </reference>
            <reference field="0" count="12" selected="0">
              <x v="11"/>
              <x v="135"/>
              <x v="141"/>
              <x v="174"/>
              <x v="254"/>
              <x v="301"/>
              <x v="312"/>
              <x v="335"/>
              <x v="408"/>
              <x v="411"/>
              <x v="509"/>
              <x v="546"/>
            </reference>
            <reference field="5" count="3" selected="0">
              <x v="3"/>
              <x v="4"/>
              <x v="6"/>
            </reference>
            <reference field="7" count="12" selected="0">
              <x v="75"/>
              <x v="95"/>
              <x v="114"/>
              <x v="121"/>
              <x v="181"/>
              <x v="191"/>
              <x v="204"/>
              <x v="218"/>
              <x v="259"/>
              <x v="358"/>
              <x v="364"/>
              <x v="371"/>
            </reference>
            <reference field="8" count="1" selected="0">
              <x v="1"/>
            </reference>
            <reference field="10" count="2" selected="0">
              <x v="0"/>
              <x v="2"/>
            </reference>
            <reference field="17" count="2" selected="0">
              <x v="0"/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BAFCB-9CA5-4838-8D8C-92102A7A3CC0}" name="Tabela dinâmica4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M6:N11" firstHeaderRow="1" firstDataRow="1" firstDataCol="1"/>
  <pivotFields count="2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h="1" x="1"/>
        <item x="4"/>
        <item x="0"/>
        <item x="3"/>
        <item x="2"/>
        <item t="default"/>
      </items>
    </pivotField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Finding_ID" fld="0" subtotal="count" baseField="0" baseItem="0"/>
  </dataFields>
  <formats count="14">
    <format dxfId="15">
      <pivotArea outline="0" fieldPosition="0">
        <references count="1">
          <reference field="19" count="0" selected="0"/>
        </references>
      </pivotArea>
    </format>
    <format dxfId="16">
      <pivotArea dataOnly="0" labelOnly="1" outline="0" fieldPosition="0">
        <references count="1">
          <reference field="19" count="0"/>
        </references>
      </pivotArea>
    </format>
    <format dxfId="17">
      <pivotArea outline="0" fieldPosition="0">
        <references count="1">
          <reference field="19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19" count="1">
            <x v="1"/>
          </reference>
        </references>
      </pivotArea>
    </format>
    <format dxfId="19">
      <pivotArea outline="0" fieldPosition="0">
        <references count="1">
          <reference field="19" count="1" selected="0">
            <x v="2"/>
          </reference>
        </references>
      </pivotArea>
    </format>
    <format dxfId="20">
      <pivotArea dataOnly="0" labelOnly="1" outline="0" fieldPosition="0">
        <references count="1">
          <reference field="19" count="1">
            <x v="2"/>
          </reference>
        </references>
      </pivotArea>
    </format>
    <format dxfId="21">
      <pivotArea outline="0" fieldPosition="0">
        <references count="1">
          <reference field="19" count="1" selected="0">
            <x v="4"/>
          </reference>
        </references>
      </pivotArea>
    </format>
    <format dxfId="22">
      <pivotArea dataOnly="0" labelOnly="1" outline="0" fieldPosition="0">
        <references count="1">
          <reference field="19" count="1">
            <x v="4"/>
          </reference>
        </references>
      </pivotArea>
    </format>
    <format dxfId="23">
      <pivotArea outline="0" fieldPosition="0">
        <references count="1">
          <reference field="19" count="1" selected="0">
            <x v="3"/>
          </reference>
        </references>
      </pivotArea>
    </format>
    <format dxfId="24">
      <pivotArea dataOnly="0" labelOnly="1" outline="0" fieldPosition="0">
        <references count="1">
          <reference field="19" count="1">
            <x v="3"/>
          </reference>
        </references>
      </pivotArea>
    </format>
    <format dxfId="25">
      <pivotArea outline="0" fieldPosition="0">
        <references count="1">
          <reference field="19" count="1" selected="0">
            <x v="2"/>
          </reference>
        </references>
      </pivotArea>
    </format>
    <format dxfId="26">
      <pivotArea dataOnly="0" labelOnly="1" outline="0" fieldPosition="0">
        <references count="1">
          <reference field="19" count="1">
            <x v="2"/>
          </reference>
        </references>
      </pivotArea>
    </format>
    <format dxfId="27">
      <pivotArea outline="0" fieldPosition="0">
        <references count="1">
          <reference field="19" count="1" selected="0">
            <x v="3"/>
          </reference>
        </references>
      </pivotArea>
    </format>
    <format dxfId="28">
      <pivotArea dataOnly="0" labelOnly="1" outline="0" fieldPosition="0">
        <references count="1">
          <reference field="19" count="1"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DA223-B5B8-4B54-828E-FE8E5FA52B64}" name="Tabela dinâmica3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M15:N19" firstHeaderRow="1" firstDataRow="1" firstDataCol="1" rowPageCount="1" colPageCount="1"/>
  <pivotFields count="2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axis="axisPage" compact="0" outline="0" showAll="0">
      <items count="6">
        <item h="1" x="3"/>
        <item h="1" x="1"/>
        <item h="1" x="2"/>
        <item x="0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5" item="3" hier="-1"/>
  </pageFields>
  <dataFields count="1">
    <dataField name="Contagem de Finding_ID" fld="0" subtotal="count" baseField="0" baseItem="0"/>
  </dataFields>
  <formats count="6">
    <format dxfId="9">
      <pivotArea outline="0" fieldPosition="0">
        <references count="1">
          <reference field="10" count="0" selected="0"/>
        </references>
      </pivotArea>
    </format>
    <format dxfId="10">
      <pivotArea dataOnly="0" labelOnly="1" outline="0" fieldPosition="0">
        <references count="1">
          <reference field="10" count="0"/>
        </references>
      </pivotArea>
    </format>
    <format dxfId="11">
      <pivotArea outline="0" fieldPosition="0">
        <references count="1">
          <reference field="10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10" count="1">
            <x v="0"/>
          </reference>
        </references>
      </pivotArea>
    </format>
    <format dxfId="13">
      <pivotArea outline="0" fieldPosition="0">
        <references count="1">
          <reference field="10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10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3D314-CFAD-4F06-A86E-6D270F6BB9C7}" name="Tabela dinâmica1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6" firstHeaderRow="1" firstDataRow="1" firstDataCol="1" rowPageCount="1" colPageCount="1"/>
  <pivotFields count="20">
    <pivotField axis="axisRow" compact="0" outline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6">
        <item h="1" x="1"/>
        <item x="4"/>
        <item h="1" x="0"/>
        <item h="1" x="3"/>
        <item h="1" x="2"/>
        <item t="default"/>
      </items>
    </pivotField>
  </pivotFields>
  <rowFields count="1">
    <field x="0"/>
  </rowFields>
  <rowItems count="13">
    <i>
      <x v="11"/>
    </i>
    <i>
      <x v="135"/>
    </i>
    <i>
      <x v="141"/>
    </i>
    <i>
      <x v="174"/>
    </i>
    <i>
      <x v="254"/>
    </i>
    <i>
      <x v="301"/>
    </i>
    <i>
      <x v="312"/>
    </i>
    <i>
      <x v="335"/>
    </i>
    <i>
      <x v="408"/>
    </i>
    <i>
      <x v="411"/>
    </i>
    <i>
      <x v="509"/>
    </i>
    <i>
      <x v="546"/>
    </i>
    <i t="grand">
      <x/>
    </i>
  </rowItems>
  <colItems count="1">
    <i/>
  </colItems>
  <pageFields count="1">
    <pageField fld="19" item="1" hier="-1"/>
  </pageFields>
  <dataFields count="1">
    <dataField name="Soma de Risk_Scor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D0E6F-5417-4BC0-9D82-4AC6F11242C7}" name="tbl_Vulnerabilities" displayName="tbl_Vulnerabilities" ref="A1:T601" totalsRowShown="0" headerRowDxfId="8">
  <autoFilter ref="A1:T601" xr:uid="{00000000-0009-0000-0000-000000000000}"/>
  <sortState xmlns:xlrd2="http://schemas.microsoft.com/office/spreadsheetml/2017/richdata2" ref="A2:T601">
    <sortCondition descending="1" ref="S1:S601"/>
  </sortState>
  <tableColumns count="20">
    <tableColumn id="1" xr3:uid="{83EB42BD-0310-4AC4-B633-209BC0B13D83}" name="Finding_ID"/>
    <tableColumn id="2" xr3:uid="{F28B837E-B8BE-40C1-8147-697154E04839}" name="Asset"/>
    <tableColumn id="3" xr3:uid="{B68E9AEF-04C2-4855-A187-DC9AE19E9865}" name="Asset_Type"/>
    <tableColumn id="4" xr3:uid="{DC8728F3-B71D-4319-896A-C6E3D69915B5}" name="Product"/>
    <tableColumn id="5" xr3:uid="{70FC0CEA-B2A7-47B2-B015-1B9708B63789}" name="CVE"/>
    <tableColumn id="6" xr3:uid="{FB129E26-EC54-4D9C-8175-4497C211BE1C}" name="Vulnerability_Type"/>
    <tableColumn id="7" xr3:uid="{AA90BEF9-91FC-47C3-8F6D-2A07BF0F9341}" name="CVSS" dataDxfId="7"/>
    <tableColumn id="8" xr3:uid="{ADF75E4F-E2CF-4240-97B9-5815EAF43EE0}" name="EPSS" dataDxfId="6"/>
    <tableColumn id="9" xr3:uid="{2DB598E2-CC10-43E3-A4F7-7AEA62F03D16}" name="CISA_KEV" dataDxfId="5"/>
    <tableColumn id="10" xr3:uid="{6B6E8711-B0F2-4C66-8E30-79DED7FE98F0}" name="Exposure"/>
    <tableColumn id="11" xr3:uid="{C060F212-1FC9-4656-A411-1C73D12C2665}" name="Environment"/>
    <tableColumn id="12" xr3:uid="{CC6B2058-1A46-4299-8A3F-EB93BF8255A3}" name="Department"/>
    <tableColumn id="13" xr3:uid="{0FE9E986-0C2B-4940-9843-AA83D2F8BF5D}" name="Owner"/>
    <tableColumn id="14" xr3:uid="{2703F46A-3BB8-4673-9B97-F17513CB1D7A}" name="Discovered_Date" dataDxfId="4"/>
    <tableColumn id="15" xr3:uid="{771CF8CA-DA1E-4D45-BAE3-4F6FB22A03F3}" name="SLA_Due_Date" dataDxfId="3"/>
    <tableColumn id="16" xr3:uid="{AF9D9C8A-F625-4217-A3E2-ACEF0322C0E0}" name="Status"/>
    <tableColumn id="17" xr3:uid="{12C39984-C4F7-4E89-87CC-B81BE7BD98AF}" name="Remediated_Date" dataDxfId="2"/>
    <tableColumn id="18" xr3:uid="{B41A0C69-D7BE-47C8-BB46-604B8E59C286}" name="Internet_Exposed"/>
    <tableColumn id="19" xr3:uid="{0B648A13-FB41-483E-AAE2-A36C04EF33DA}" name="Risk_Score" dataDxfId="1">
      <calculatedColumnFormula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calculatedColumnFormula>
    </tableColumn>
    <tableColumn id="20" xr3:uid="{3E910606-9496-4924-93F7-84E6B527B3E1}" name="Priority" dataDxfId="0">
      <calculatedColumnFormula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1"/>
  <sheetViews>
    <sheetView workbookViewId="0">
      <pane ySplit="1" topLeftCell="D2" activePane="bottomLeft" state="frozen"/>
      <selection pane="bottomLeft" activeCell="B601" sqref="B601"/>
    </sheetView>
  </sheetViews>
  <sheetFormatPr defaultRowHeight="15"/>
  <cols>
    <col min="1" max="1" width="12.85546875" bestFit="1" customWidth="1"/>
    <col min="2" max="2" width="12" customWidth="1"/>
    <col min="3" max="3" width="16" customWidth="1"/>
    <col min="4" max="4" width="19.7109375" bestFit="1" customWidth="1"/>
    <col min="5" max="5" width="16" customWidth="1"/>
    <col min="6" max="6" width="23" customWidth="1"/>
    <col min="7" max="7" width="10.5703125" style="5" customWidth="1"/>
    <col min="8" max="8" width="9.5703125" style="7" customWidth="1"/>
    <col min="9" max="9" width="12" style="5" customWidth="1"/>
    <col min="10" max="10" width="14.28515625" bestFit="1" customWidth="1"/>
    <col min="11" max="11" width="15" bestFit="1" customWidth="1"/>
    <col min="12" max="12" width="14.28515625" bestFit="1" customWidth="1"/>
    <col min="13" max="13" width="15.140625" bestFit="1" customWidth="1"/>
    <col min="14" max="14" width="18.7109375" style="9" bestFit="1" customWidth="1"/>
    <col min="15" max="15" width="16.7109375" style="9" bestFit="1" customWidth="1"/>
    <col min="16" max="16" width="13.42578125" bestFit="1" customWidth="1"/>
    <col min="17" max="17" width="19.85546875" style="9" bestFit="1" customWidth="1"/>
    <col min="18" max="18" width="18.5703125" customWidth="1"/>
    <col min="19" max="19" width="13" style="5" bestFit="1" customWidth="1"/>
    <col min="20" max="20" width="13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6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4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5">
        <v>10</v>
      </c>
      <c r="H2" s="7">
        <v>0.50700000000000001</v>
      </c>
      <c r="I2" s="5" t="s">
        <v>26</v>
      </c>
      <c r="J2" t="s">
        <v>27</v>
      </c>
      <c r="K2" t="s">
        <v>28</v>
      </c>
      <c r="L2" t="s">
        <v>29</v>
      </c>
      <c r="M2" t="s">
        <v>30</v>
      </c>
      <c r="N2" s="8">
        <v>46248</v>
      </c>
      <c r="O2" s="8">
        <v>46251</v>
      </c>
      <c r="P2" t="s">
        <v>31</v>
      </c>
      <c r="Q2" s="8">
        <v>46271</v>
      </c>
      <c r="R2" t="s">
        <v>26</v>
      </c>
      <c r="S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15</v>
      </c>
      <c r="T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" spans="1:20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s="5">
        <v>9.8000000000000007</v>
      </c>
      <c r="H3" s="7">
        <v>0.79700000000000004</v>
      </c>
      <c r="I3" s="5" t="s">
        <v>38</v>
      </c>
      <c r="J3" t="s">
        <v>39</v>
      </c>
      <c r="K3" t="s">
        <v>28</v>
      </c>
      <c r="L3" t="s">
        <v>40</v>
      </c>
      <c r="M3" t="s">
        <v>41</v>
      </c>
      <c r="N3" s="8">
        <v>46248</v>
      </c>
      <c r="O3" s="8">
        <v>46254</v>
      </c>
      <c r="P3" t="s">
        <v>42</v>
      </c>
      <c r="Q3" s="8"/>
      <c r="R3" t="s">
        <v>38</v>
      </c>
      <c r="S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" spans="1:20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37</v>
      </c>
      <c r="G4" s="5">
        <v>10</v>
      </c>
      <c r="H4" s="7">
        <v>0.51100000000000001</v>
      </c>
      <c r="I4" s="5" t="s">
        <v>26</v>
      </c>
      <c r="J4" t="s">
        <v>27</v>
      </c>
      <c r="K4" t="s">
        <v>28</v>
      </c>
      <c r="L4" t="s">
        <v>48</v>
      </c>
      <c r="M4" t="s">
        <v>49</v>
      </c>
      <c r="N4" s="8">
        <v>46239</v>
      </c>
      <c r="O4" s="8">
        <v>46246</v>
      </c>
      <c r="P4" t="s">
        <v>50</v>
      </c>
      <c r="Q4" s="8"/>
      <c r="R4" t="s">
        <v>26</v>
      </c>
      <c r="S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15</v>
      </c>
      <c r="T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" spans="1:20">
      <c r="A5" t="s">
        <v>51</v>
      </c>
      <c r="B5" t="s">
        <v>52</v>
      </c>
      <c r="C5" t="s">
        <v>22</v>
      </c>
      <c r="D5" t="s">
        <v>53</v>
      </c>
      <c r="E5" t="s">
        <v>47</v>
      </c>
      <c r="F5" t="s">
        <v>37</v>
      </c>
      <c r="G5" s="5">
        <v>10</v>
      </c>
      <c r="H5" s="7">
        <v>0.33100000000000002</v>
      </c>
      <c r="I5" s="5" t="s">
        <v>26</v>
      </c>
      <c r="J5" t="s">
        <v>27</v>
      </c>
      <c r="K5" t="s">
        <v>28</v>
      </c>
      <c r="L5" t="s">
        <v>54</v>
      </c>
      <c r="M5" t="s">
        <v>55</v>
      </c>
      <c r="N5" s="8">
        <v>46237</v>
      </c>
      <c r="O5" s="8">
        <v>46244</v>
      </c>
      <c r="P5" t="s">
        <v>50</v>
      </c>
      <c r="Q5" s="8"/>
      <c r="R5" t="s">
        <v>26</v>
      </c>
      <c r="S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6" spans="1:20">
      <c r="A6" t="s">
        <v>56</v>
      </c>
      <c r="B6" t="s">
        <v>57</v>
      </c>
      <c r="C6" t="s">
        <v>58</v>
      </c>
      <c r="D6" t="s">
        <v>59</v>
      </c>
      <c r="E6" t="s">
        <v>47</v>
      </c>
      <c r="F6" t="s">
        <v>37</v>
      </c>
      <c r="G6" s="5">
        <v>10</v>
      </c>
      <c r="H6" s="7">
        <v>0.69199999999999995</v>
      </c>
      <c r="I6" s="5" t="s">
        <v>26</v>
      </c>
      <c r="J6" t="s">
        <v>27</v>
      </c>
      <c r="K6" t="s">
        <v>60</v>
      </c>
      <c r="L6" t="s">
        <v>40</v>
      </c>
      <c r="M6" t="s">
        <v>41</v>
      </c>
      <c r="N6" s="8">
        <v>46237</v>
      </c>
      <c r="O6" s="8">
        <v>46244</v>
      </c>
      <c r="P6" t="s">
        <v>31</v>
      </c>
      <c r="Q6" s="8">
        <v>46257</v>
      </c>
      <c r="R6" t="s">
        <v>26</v>
      </c>
      <c r="S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7" spans="1:20">
      <c r="A7" t="s">
        <v>61</v>
      </c>
      <c r="B7" t="s">
        <v>62</v>
      </c>
      <c r="C7" t="s">
        <v>58</v>
      </c>
      <c r="D7" t="s">
        <v>63</v>
      </c>
      <c r="E7" t="s">
        <v>64</v>
      </c>
      <c r="F7" t="s">
        <v>37</v>
      </c>
      <c r="G7" s="5">
        <v>10</v>
      </c>
      <c r="H7" s="7">
        <v>0.46100000000000002</v>
      </c>
      <c r="I7" s="5" t="s">
        <v>26</v>
      </c>
      <c r="J7" t="s">
        <v>27</v>
      </c>
      <c r="K7" t="s">
        <v>28</v>
      </c>
      <c r="L7" t="s">
        <v>29</v>
      </c>
      <c r="M7" t="s">
        <v>65</v>
      </c>
      <c r="N7" s="8">
        <v>46252</v>
      </c>
      <c r="O7" s="8">
        <v>46259</v>
      </c>
      <c r="P7" t="s">
        <v>31</v>
      </c>
      <c r="Q7" s="8">
        <v>46276</v>
      </c>
      <c r="R7" t="s">
        <v>26</v>
      </c>
      <c r="S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8" spans="1:20">
      <c r="A8" t="s">
        <v>66</v>
      </c>
      <c r="B8" t="s">
        <v>67</v>
      </c>
      <c r="C8" t="s">
        <v>59</v>
      </c>
      <c r="D8" t="s">
        <v>59</v>
      </c>
      <c r="E8" t="s">
        <v>47</v>
      </c>
      <c r="F8" t="s">
        <v>37</v>
      </c>
      <c r="G8" s="5">
        <v>10</v>
      </c>
      <c r="H8" s="7">
        <v>0.27300000000000002</v>
      </c>
      <c r="I8" s="5" t="s">
        <v>26</v>
      </c>
      <c r="J8" t="s">
        <v>27</v>
      </c>
      <c r="K8" t="s">
        <v>28</v>
      </c>
      <c r="L8" t="s">
        <v>29</v>
      </c>
      <c r="M8" t="s">
        <v>65</v>
      </c>
      <c r="N8" s="8">
        <v>46238</v>
      </c>
      <c r="O8" s="8">
        <v>46245</v>
      </c>
      <c r="P8" t="s">
        <v>50</v>
      </c>
      <c r="Q8" s="8"/>
      <c r="R8" t="s">
        <v>26</v>
      </c>
      <c r="S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" spans="1:20">
      <c r="A9" t="s">
        <v>68</v>
      </c>
      <c r="B9" t="s">
        <v>69</v>
      </c>
      <c r="C9" t="s">
        <v>22</v>
      </c>
      <c r="D9" t="s">
        <v>59</v>
      </c>
      <c r="E9" t="s">
        <v>70</v>
      </c>
      <c r="F9" t="s">
        <v>71</v>
      </c>
      <c r="G9" s="5">
        <v>9.8000000000000007</v>
      </c>
      <c r="H9" s="7">
        <v>0.752</v>
      </c>
      <c r="I9" s="5" t="s">
        <v>38</v>
      </c>
      <c r="J9" t="s">
        <v>39</v>
      </c>
      <c r="K9" t="s">
        <v>28</v>
      </c>
      <c r="L9" t="s">
        <v>40</v>
      </c>
      <c r="M9" t="s">
        <v>72</v>
      </c>
      <c r="N9" s="8">
        <v>46252</v>
      </c>
      <c r="O9" s="8">
        <v>46259</v>
      </c>
      <c r="P9" t="s">
        <v>42</v>
      </c>
      <c r="Q9" s="8"/>
      <c r="R9" t="s">
        <v>38</v>
      </c>
      <c r="S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0" spans="1:20">
      <c r="A10" t="s">
        <v>73</v>
      </c>
      <c r="B10" t="s">
        <v>74</v>
      </c>
      <c r="C10" t="s">
        <v>34</v>
      </c>
      <c r="D10" t="s">
        <v>46</v>
      </c>
      <c r="E10" t="s">
        <v>70</v>
      </c>
      <c r="F10" t="s">
        <v>71</v>
      </c>
      <c r="G10" s="5">
        <v>9.8000000000000007</v>
      </c>
      <c r="H10" s="7">
        <v>0.67400000000000004</v>
      </c>
      <c r="I10" s="5" t="s">
        <v>26</v>
      </c>
      <c r="J10" t="s">
        <v>27</v>
      </c>
      <c r="K10" t="s">
        <v>28</v>
      </c>
      <c r="L10" t="s">
        <v>75</v>
      </c>
      <c r="M10" t="s">
        <v>76</v>
      </c>
      <c r="N10" s="8">
        <v>46266</v>
      </c>
      <c r="O10" s="8">
        <v>46273</v>
      </c>
      <c r="P10" t="s">
        <v>31</v>
      </c>
      <c r="Q10" s="8">
        <v>46279</v>
      </c>
      <c r="R10" t="s">
        <v>26</v>
      </c>
      <c r="S1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1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1" spans="1:20">
      <c r="A11" t="s">
        <v>77</v>
      </c>
      <c r="B11" t="s">
        <v>78</v>
      </c>
      <c r="C11" t="s">
        <v>79</v>
      </c>
      <c r="D11" t="s">
        <v>53</v>
      </c>
      <c r="E11" t="s">
        <v>47</v>
      </c>
      <c r="F11" t="s">
        <v>37</v>
      </c>
      <c r="G11" s="5">
        <v>10</v>
      </c>
      <c r="H11" s="7">
        <v>0.373</v>
      </c>
      <c r="I11" s="5" t="s">
        <v>26</v>
      </c>
      <c r="J11" t="s">
        <v>27</v>
      </c>
      <c r="K11" t="s">
        <v>28</v>
      </c>
      <c r="L11" t="s">
        <v>80</v>
      </c>
      <c r="M11" t="s">
        <v>81</v>
      </c>
      <c r="N11" s="8">
        <v>46267</v>
      </c>
      <c r="O11" s="8">
        <v>46270</v>
      </c>
      <c r="P11" t="s">
        <v>50</v>
      </c>
      <c r="Q11" s="8"/>
      <c r="R11" t="s">
        <v>26</v>
      </c>
      <c r="S1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1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2" spans="1:20">
      <c r="A12" t="s">
        <v>82</v>
      </c>
      <c r="B12" t="s">
        <v>83</v>
      </c>
      <c r="C12" t="s">
        <v>45</v>
      </c>
      <c r="D12" t="s">
        <v>84</v>
      </c>
      <c r="E12" t="s">
        <v>47</v>
      </c>
      <c r="F12" t="s">
        <v>37</v>
      </c>
      <c r="G12" s="5">
        <v>10</v>
      </c>
      <c r="H12" s="7">
        <v>0.69899999999999995</v>
      </c>
      <c r="I12" s="5" t="s">
        <v>26</v>
      </c>
      <c r="J12" t="s">
        <v>27</v>
      </c>
      <c r="K12" t="s">
        <v>28</v>
      </c>
      <c r="L12" t="s">
        <v>29</v>
      </c>
      <c r="M12" t="s">
        <v>30</v>
      </c>
      <c r="N12" s="8">
        <v>46250</v>
      </c>
      <c r="O12" s="8">
        <v>46257</v>
      </c>
      <c r="P12" t="s">
        <v>42</v>
      </c>
      <c r="Q12" s="8"/>
      <c r="R12" t="s">
        <v>26</v>
      </c>
      <c r="S1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15</v>
      </c>
      <c r="T1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13" spans="1:20">
      <c r="A13" t="s">
        <v>85</v>
      </c>
      <c r="B13" t="s">
        <v>86</v>
      </c>
      <c r="C13" t="s">
        <v>34</v>
      </c>
      <c r="D13" t="s">
        <v>23</v>
      </c>
      <c r="E13" t="s">
        <v>36</v>
      </c>
      <c r="F13" t="s">
        <v>37</v>
      </c>
      <c r="G13" s="5">
        <v>9.8000000000000007</v>
      </c>
      <c r="H13" s="7">
        <v>0.72499999999999998</v>
      </c>
      <c r="I13" s="5" t="s">
        <v>38</v>
      </c>
      <c r="J13" t="s">
        <v>39</v>
      </c>
      <c r="K13" t="s">
        <v>87</v>
      </c>
      <c r="L13" t="s">
        <v>48</v>
      </c>
      <c r="M13" t="s">
        <v>49</v>
      </c>
      <c r="N13" s="8">
        <v>46253</v>
      </c>
      <c r="O13" s="8">
        <v>46260</v>
      </c>
      <c r="P13" t="s">
        <v>42</v>
      </c>
      <c r="Q13" s="8"/>
      <c r="R13" t="s">
        <v>38</v>
      </c>
      <c r="S1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4" spans="1:20">
      <c r="A14" t="s">
        <v>88</v>
      </c>
      <c r="B14" t="s">
        <v>89</v>
      </c>
      <c r="C14" t="s">
        <v>58</v>
      </c>
      <c r="D14" t="s">
        <v>90</v>
      </c>
      <c r="E14" t="s">
        <v>24</v>
      </c>
      <c r="F14" t="s">
        <v>25</v>
      </c>
      <c r="G14" s="5">
        <v>10</v>
      </c>
      <c r="H14" s="7">
        <v>0.27800000000000002</v>
      </c>
      <c r="I14" s="5" t="s">
        <v>26</v>
      </c>
      <c r="J14" t="s">
        <v>27</v>
      </c>
      <c r="K14" t="s">
        <v>28</v>
      </c>
      <c r="L14" t="s">
        <v>40</v>
      </c>
      <c r="M14" t="s">
        <v>72</v>
      </c>
      <c r="N14" s="8">
        <v>46252</v>
      </c>
      <c r="O14" s="8">
        <v>46259</v>
      </c>
      <c r="P14" t="s">
        <v>91</v>
      </c>
      <c r="Q14" s="8"/>
      <c r="R14" t="s">
        <v>26</v>
      </c>
      <c r="S1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1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5" spans="1:20">
      <c r="A15" t="s">
        <v>92</v>
      </c>
      <c r="B15" t="s">
        <v>93</v>
      </c>
      <c r="C15" t="s">
        <v>45</v>
      </c>
      <c r="D15" t="s">
        <v>23</v>
      </c>
      <c r="E15" t="s">
        <v>47</v>
      </c>
      <c r="F15" t="s">
        <v>37</v>
      </c>
      <c r="G15" s="5">
        <v>10</v>
      </c>
      <c r="H15" s="7">
        <v>0.63200000000000001</v>
      </c>
      <c r="I15" s="5" t="s">
        <v>26</v>
      </c>
      <c r="J15" t="s">
        <v>27</v>
      </c>
      <c r="K15" t="s">
        <v>60</v>
      </c>
      <c r="L15" t="s">
        <v>29</v>
      </c>
      <c r="M15" t="s">
        <v>30</v>
      </c>
      <c r="N15" s="8">
        <v>46248</v>
      </c>
      <c r="O15" s="8">
        <v>46255</v>
      </c>
      <c r="P15" t="s">
        <v>42</v>
      </c>
      <c r="Q15" s="8"/>
      <c r="R15" t="s">
        <v>26</v>
      </c>
      <c r="S1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1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16" spans="1:20">
      <c r="A16" t="s">
        <v>94</v>
      </c>
      <c r="B16" t="s">
        <v>95</v>
      </c>
      <c r="C16" t="s">
        <v>45</v>
      </c>
      <c r="D16" t="s">
        <v>63</v>
      </c>
      <c r="E16" t="s">
        <v>47</v>
      </c>
      <c r="F16" t="s">
        <v>37</v>
      </c>
      <c r="G16" s="5">
        <v>10</v>
      </c>
      <c r="H16" s="7">
        <v>0.55500000000000005</v>
      </c>
      <c r="I16" s="5" t="s">
        <v>26</v>
      </c>
      <c r="J16" t="s">
        <v>27</v>
      </c>
      <c r="K16" t="s">
        <v>60</v>
      </c>
      <c r="L16" t="s">
        <v>80</v>
      </c>
      <c r="M16" t="s">
        <v>96</v>
      </c>
      <c r="N16" s="8">
        <v>46249</v>
      </c>
      <c r="O16" s="8">
        <v>46253</v>
      </c>
      <c r="P16" t="s">
        <v>91</v>
      </c>
      <c r="Q16" s="8"/>
      <c r="R16" t="s">
        <v>26</v>
      </c>
      <c r="S1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1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" spans="1:20">
      <c r="A17" t="s">
        <v>97</v>
      </c>
      <c r="B17" t="s">
        <v>98</v>
      </c>
      <c r="C17" t="s">
        <v>34</v>
      </c>
      <c r="D17" t="s">
        <v>59</v>
      </c>
      <c r="E17" t="s">
        <v>24</v>
      </c>
      <c r="F17" t="s">
        <v>25</v>
      </c>
      <c r="G17" s="5">
        <v>10</v>
      </c>
      <c r="H17" s="7">
        <v>0.20599999999999999</v>
      </c>
      <c r="I17" s="5" t="s">
        <v>26</v>
      </c>
      <c r="J17" t="s">
        <v>27</v>
      </c>
      <c r="K17" t="s">
        <v>28</v>
      </c>
      <c r="L17" t="s">
        <v>99</v>
      </c>
      <c r="M17" t="s">
        <v>100</v>
      </c>
      <c r="N17" s="8">
        <v>46237</v>
      </c>
      <c r="O17" s="8">
        <v>46244</v>
      </c>
      <c r="P17" t="s">
        <v>101</v>
      </c>
      <c r="Q17" s="8">
        <v>46269</v>
      </c>
      <c r="R17" t="s">
        <v>26</v>
      </c>
      <c r="S1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1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8" spans="1:20">
      <c r="A18" t="s">
        <v>102</v>
      </c>
      <c r="B18" t="s">
        <v>103</v>
      </c>
      <c r="C18" t="s">
        <v>58</v>
      </c>
      <c r="D18" t="s">
        <v>104</v>
      </c>
      <c r="E18" t="s">
        <v>64</v>
      </c>
      <c r="F18" t="s">
        <v>37</v>
      </c>
      <c r="G18" s="5">
        <v>9.8000000000000007</v>
      </c>
      <c r="H18" s="7">
        <v>0.69599999999999995</v>
      </c>
      <c r="I18" s="5" t="s">
        <v>26</v>
      </c>
      <c r="J18" t="s">
        <v>39</v>
      </c>
      <c r="K18" t="s">
        <v>87</v>
      </c>
      <c r="L18" t="s">
        <v>99</v>
      </c>
      <c r="M18" t="s">
        <v>100</v>
      </c>
      <c r="N18" s="8">
        <v>46250</v>
      </c>
      <c r="O18" s="8">
        <v>46257</v>
      </c>
      <c r="P18" t="s">
        <v>42</v>
      </c>
      <c r="Q18" s="8"/>
      <c r="R18" t="s">
        <v>38</v>
      </c>
      <c r="S1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9" spans="1:20">
      <c r="A19" t="s">
        <v>105</v>
      </c>
      <c r="B19" t="s">
        <v>106</v>
      </c>
      <c r="C19" t="s">
        <v>58</v>
      </c>
      <c r="D19" t="s">
        <v>90</v>
      </c>
      <c r="E19" t="s">
        <v>47</v>
      </c>
      <c r="F19" t="s">
        <v>37</v>
      </c>
      <c r="G19" s="5">
        <v>10</v>
      </c>
      <c r="H19" s="7">
        <v>0.51800000000000002</v>
      </c>
      <c r="I19" s="5" t="s">
        <v>26</v>
      </c>
      <c r="J19" t="s">
        <v>39</v>
      </c>
      <c r="K19" t="s">
        <v>28</v>
      </c>
      <c r="L19" t="s">
        <v>99</v>
      </c>
      <c r="M19" t="s">
        <v>100</v>
      </c>
      <c r="N19" s="8">
        <v>46270</v>
      </c>
      <c r="O19" s="8">
        <v>46277</v>
      </c>
      <c r="P19" t="s">
        <v>91</v>
      </c>
      <c r="Q19" s="8"/>
      <c r="R19" t="s">
        <v>38</v>
      </c>
      <c r="S1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1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0" spans="1:20">
      <c r="A20" t="s">
        <v>107</v>
      </c>
      <c r="B20" t="s">
        <v>108</v>
      </c>
      <c r="C20" t="s">
        <v>58</v>
      </c>
      <c r="D20" t="s">
        <v>109</v>
      </c>
      <c r="E20" t="s">
        <v>24</v>
      </c>
      <c r="F20" t="s">
        <v>25</v>
      </c>
      <c r="G20" s="5">
        <v>10</v>
      </c>
      <c r="H20" s="7">
        <v>0.70699999999999996</v>
      </c>
      <c r="I20" s="5" t="s">
        <v>26</v>
      </c>
      <c r="J20" t="s">
        <v>110</v>
      </c>
      <c r="K20" t="s">
        <v>28</v>
      </c>
      <c r="L20" t="s">
        <v>40</v>
      </c>
      <c r="M20" t="s">
        <v>41</v>
      </c>
      <c r="N20" s="8">
        <v>46241</v>
      </c>
      <c r="O20" s="8">
        <v>46248</v>
      </c>
      <c r="P20" t="s">
        <v>31</v>
      </c>
      <c r="Q20" s="8">
        <v>46264</v>
      </c>
      <c r="R20" t="s">
        <v>38</v>
      </c>
      <c r="S2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1" spans="1:20">
      <c r="A21" t="s">
        <v>111</v>
      </c>
      <c r="B21" t="s">
        <v>112</v>
      </c>
      <c r="C21" t="s">
        <v>34</v>
      </c>
      <c r="D21" t="s">
        <v>113</v>
      </c>
      <c r="E21" t="s">
        <v>47</v>
      </c>
      <c r="F21" t="s">
        <v>37</v>
      </c>
      <c r="G21" s="5">
        <v>10</v>
      </c>
      <c r="H21" s="7">
        <v>0.38400000000000001</v>
      </c>
      <c r="I21" s="5" t="s">
        <v>26</v>
      </c>
      <c r="J21" t="s">
        <v>27</v>
      </c>
      <c r="K21" t="s">
        <v>28</v>
      </c>
      <c r="L21" t="s">
        <v>40</v>
      </c>
      <c r="M21" t="s">
        <v>72</v>
      </c>
      <c r="N21" s="8">
        <v>46246</v>
      </c>
      <c r="O21" s="8">
        <v>46252</v>
      </c>
      <c r="P21" t="s">
        <v>42</v>
      </c>
      <c r="Q21" s="8"/>
      <c r="R21" t="s">
        <v>26</v>
      </c>
      <c r="S2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2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22" spans="1:20">
      <c r="A22" t="s">
        <v>114</v>
      </c>
      <c r="B22" t="s">
        <v>115</v>
      </c>
      <c r="C22" t="s">
        <v>45</v>
      </c>
      <c r="D22" t="s">
        <v>63</v>
      </c>
      <c r="E22" t="s">
        <v>116</v>
      </c>
      <c r="F22" t="s">
        <v>37</v>
      </c>
      <c r="G22" s="5">
        <v>8.1</v>
      </c>
      <c r="H22" s="7">
        <v>0.628</v>
      </c>
      <c r="I22" s="5" t="s">
        <v>26</v>
      </c>
      <c r="J22" t="s">
        <v>39</v>
      </c>
      <c r="K22" t="s">
        <v>60</v>
      </c>
      <c r="L22" t="s">
        <v>29</v>
      </c>
      <c r="M22" t="s">
        <v>30</v>
      </c>
      <c r="N22" s="8">
        <v>46257</v>
      </c>
      <c r="O22" s="8">
        <v>46271</v>
      </c>
      <c r="P22" t="s">
        <v>42</v>
      </c>
      <c r="Q22" s="8"/>
      <c r="R22" t="s">
        <v>38</v>
      </c>
      <c r="S2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2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3" spans="1:20">
      <c r="A23" t="s">
        <v>117</v>
      </c>
      <c r="B23" t="s">
        <v>118</v>
      </c>
      <c r="C23" t="s">
        <v>22</v>
      </c>
      <c r="D23" t="s">
        <v>53</v>
      </c>
      <c r="E23" t="s">
        <v>119</v>
      </c>
      <c r="F23" t="s">
        <v>37</v>
      </c>
      <c r="G23" s="5">
        <v>7.8</v>
      </c>
      <c r="H23" s="7">
        <v>0.622</v>
      </c>
      <c r="I23" s="5" t="s">
        <v>38</v>
      </c>
      <c r="J23" t="s">
        <v>39</v>
      </c>
      <c r="K23" t="s">
        <v>87</v>
      </c>
      <c r="L23" t="s">
        <v>29</v>
      </c>
      <c r="M23" t="s">
        <v>30</v>
      </c>
      <c r="N23" s="8">
        <v>46271</v>
      </c>
      <c r="O23" s="8">
        <v>46285</v>
      </c>
      <c r="P23" t="s">
        <v>42</v>
      </c>
      <c r="Q23" s="8"/>
      <c r="R23" t="s">
        <v>38</v>
      </c>
      <c r="S2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2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4" spans="1:20">
      <c r="A24" t="s">
        <v>120</v>
      </c>
      <c r="B24" t="s">
        <v>121</v>
      </c>
      <c r="C24" t="s">
        <v>22</v>
      </c>
      <c r="D24" t="s">
        <v>122</v>
      </c>
      <c r="E24" t="s">
        <v>64</v>
      </c>
      <c r="F24" t="s">
        <v>37</v>
      </c>
      <c r="G24" s="5">
        <v>10</v>
      </c>
      <c r="H24" s="7">
        <v>0.16800000000000001</v>
      </c>
      <c r="I24" s="5" t="s">
        <v>26</v>
      </c>
      <c r="J24" t="s">
        <v>27</v>
      </c>
      <c r="K24" t="s">
        <v>28</v>
      </c>
      <c r="L24" t="s">
        <v>29</v>
      </c>
      <c r="M24" t="s">
        <v>65</v>
      </c>
      <c r="N24" s="8">
        <v>46271</v>
      </c>
      <c r="O24" s="8">
        <v>46278</v>
      </c>
      <c r="P24" t="s">
        <v>91</v>
      </c>
      <c r="Q24" s="8"/>
      <c r="R24" t="s">
        <v>26</v>
      </c>
      <c r="S2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5" spans="1:20">
      <c r="A25" t="s">
        <v>123</v>
      </c>
      <c r="B25" t="s">
        <v>124</v>
      </c>
      <c r="C25" t="s">
        <v>45</v>
      </c>
      <c r="D25" t="s">
        <v>63</v>
      </c>
      <c r="E25" t="s">
        <v>125</v>
      </c>
      <c r="F25" t="s">
        <v>126</v>
      </c>
      <c r="G25" s="5">
        <v>8.6</v>
      </c>
      <c r="H25" s="7">
        <v>0.60199999999999998</v>
      </c>
      <c r="I25" s="5" t="s">
        <v>38</v>
      </c>
      <c r="J25" t="s">
        <v>39</v>
      </c>
      <c r="K25" t="s">
        <v>60</v>
      </c>
      <c r="L25" t="s">
        <v>40</v>
      </c>
      <c r="M25" t="s">
        <v>72</v>
      </c>
      <c r="N25" s="8">
        <v>46272</v>
      </c>
      <c r="O25" s="8">
        <v>46286</v>
      </c>
      <c r="P25" t="s">
        <v>42</v>
      </c>
      <c r="Q25" s="8"/>
      <c r="R25" t="s">
        <v>38</v>
      </c>
      <c r="S2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2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6" spans="1:20">
      <c r="A26" t="s">
        <v>127</v>
      </c>
      <c r="B26" t="s">
        <v>128</v>
      </c>
      <c r="C26" t="s">
        <v>58</v>
      </c>
      <c r="D26" t="s">
        <v>46</v>
      </c>
      <c r="E26" t="s">
        <v>125</v>
      </c>
      <c r="F26" t="s">
        <v>126</v>
      </c>
      <c r="G26" s="5">
        <v>9</v>
      </c>
      <c r="H26" s="7">
        <v>0.59199999999999997</v>
      </c>
      <c r="I26" s="5" t="s">
        <v>38</v>
      </c>
      <c r="J26" t="s">
        <v>27</v>
      </c>
      <c r="K26" t="s">
        <v>28</v>
      </c>
      <c r="L26" t="s">
        <v>75</v>
      </c>
      <c r="M26" t="s">
        <v>129</v>
      </c>
      <c r="N26" s="8">
        <v>46256</v>
      </c>
      <c r="O26" s="8">
        <v>46263</v>
      </c>
      <c r="P26" t="s">
        <v>42</v>
      </c>
      <c r="Q26" s="8"/>
      <c r="R26" t="s">
        <v>26</v>
      </c>
      <c r="S2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2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7" spans="1:20">
      <c r="A27" t="s">
        <v>130</v>
      </c>
      <c r="B27" t="s">
        <v>131</v>
      </c>
      <c r="C27" t="s">
        <v>34</v>
      </c>
      <c r="D27" t="s">
        <v>59</v>
      </c>
      <c r="E27" t="s">
        <v>47</v>
      </c>
      <c r="F27" t="s">
        <v>37</v>
      </c>
      <c r="G27" s="5">
        <v>10</v>
      </c>
      <c r="H27" s="7">
        <v>0.38300000000000001</v>
      </c>
      <c r="I27" s="5" t="s">
        <v>26</v>
      </c>
      <c r="J27" t="s">
        <v>27</v>
      </c>
      <c r="K27" t="s">
        <v>60</v>
      </c>
      <c r="L27" t="s">
        <v>48</v>
      </c>
      <c r="M27" t="s">
        <v>132</v>
      </c>
      <c r="N27" s="8">
        <v>46236</v>
      </c>
      <c r="O27" s="8">
        <v>46243</v>
      </c>
      <c r="P27" t="s">
        <v>50</v>
      </c>
      <c r="Q27" s="8"/>
      <c r="R27" t="s">
        <v>26</v>
      </c>
      <c r="S2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8" spans="1:20">
      <c r="A28" t="s">
        <v>133</v>
      </c>
      <c r="B28" t="s">
        <v>134</v>
      </c>
      <c r="C28" t="s">
        <v>45</v>
      </c>
      <c r="D28" t="s">
        <v>23</v>
      </c>
      <c r="E28" t="s">
        <v>47</v>
      </c>
      <c r="F28" t="s">
        <v>37</v>
      </c>
      <c r="G28" s="5">
        <v>10</v>
      </c>
      <c r="H28" s="7">
        <v>6.8000000000000005E-2</v>
      </c>
      <c r="I28" s="5" t="s">
        <v>26</v>
      </c>
      <c r="J28" t="s">
        <v>27</v>
      </c>
      <c r="K28" t="s">
        <v>28</v>
      </c>
      <c r="L28" t="s">
        <v>40</v>
      </c>
      <c r="M28" t="s">
        <v>41</v>
      </c>
      <c r="N28" s="8">
        <v>46248</v>
      </c>
      <c r="O28" s="8">
        <v>46255</v>
      </c>
      <c r="P28" t="s">
        <v>101</v>
      </c>
      <c r="Q28" s="8">
        <v>46265</v>
      </c>
      <c r="R28" t="s">
        <v>26</v>
      </c>
      <c r="S2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9" spans="1:20">
      <c r="A29" t="s">
        <v>135</v>
      </c>
      <c r="B29" t="s">
        <v>136</v>
      </c>
      <c r="C29" t="s">
        <v>79</v>
      </c>
      <c r="D29" t="s">
        <v>53</v>
      </c>
      <c r="E29" t="s">
        <v>24</v>
      </c>
      <c r="F29" t="s">
        <v>25</v>
      </c>
      <c r="G29" s="5">
        <v>10</v>
      </c>
      <c r="H29" s="7">
        <v>0.36199999999999999</v>
      </c>
      <c r="I29" s="5" t="s">
        <v>26</v>
      </c>
      <c r="J29" t="s">
        <v>27</v>
      </c>
      <c r="K29" t="s">
        <v>60</v>
      </c>
      <c r="L29" t="s">
        <v>40</v>
      </c>
      <c r="M29" t="s">
        <v>72</v>
      </c>
      <c r="N29" s="8">
        <v>46275</v>
      </c>
      <c r="O29" s="8">
        <v>46282</v>
      </c>
      <c r="P29" t="s">
        <v>101</v>
      </c>
      <c r="Q29" s="8">
        <v>46289</v>
      </c>
      <c r="R29" t="s">
        <v>26</v>
      </c>
      <c r="S2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0" spans="1:20">
      <c r="A30" t="s">
        <v>137</v>
      </c>
      <c r="B30" t="s">
        <v>138</v>
      </c>
      <c r="C30" t="s">
        <v>22</v>
      </c>
      <c r="D30" t="s">
        <v>104</v>
      </c>
      <c r="E30" t="s">
        <v>24</v>
      </c>
      <c r="F30" t="s">
        <v>25</v>
      </c>
      <c r="G30" s="5">
        <v>10</v>
      </c>
      <c r="H30" s="7">
        <v>0.40699999999999997</v>
      </c>
      <c r="I30" s="5" t="s">
        <v>26</v>
      </c>
      <c r="J30" t="s">
        <v>27</v>
      </c>
      <c r="K30" t="s">
        <v>60</v>
      </c>
      <c r="L30" t="s">
        <v>40</v>
      </c>
      <c r="M30" t="s">
        <v>72</v>
      </c>
      <c r="N30" s="8">
        <v>46260</v>
      </c>
      <c r="O30" s="8">
        <v>46264</v>
      </c>
      <c r="P30" t="s">
        <v>91</v>
      </c>
      <c r="Q30" s="8"/>
      <c r="R30" t="s">
        <v>26</v>
      </c>
      <c r="S3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3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1" spans="1:20">
      <c r="A31" t="s">
        <v>139</v>
      </c>
      <c r="B31" t="s">
        <v>140</v>
      </c>
      <c r="C31" t="s">
        <v>45</v>
      </c>
      <c r="D31" t="s">
        <v>84</v>
      </c>
      <c r="E31" t="s">
        <v>24</v>
      </c>
      <c r="F31" t="s">
        <v>25</v>
      </c>
      <c r="G31" s="5">
        <v>10</v>
      </c>
      <c r="H31" s="7">
        <v>0.35499999999999998</v>
      </c>
      <c r="I31" s="5" t="s">
        <v>26</v>
      </c>
      <c r="J31" t="s">
        <v>27</v>
      </c>
      <c r="K31" t="s">
        <v>60</v>
      </c>
      <c r="L31" t="s">
        <v>80</v>
      </c>
      <c r="M31" t="s">
        <v>81</v>
      </c>
      <c r="N31" s="8">
        <v>46253</v>
      </c>
      <c r="O31" s="8">
        <v>46260</v>
      </c>
      <c r="P31" t="s">
        <v>91</v>
      </c>
      <c r="Q31" s="8"/>
      <c r="R31" t="s">
        <v>26</v>
      </c>
      <c r="S3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3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2" spans="1:20">
      <c r="A32" t="s">
        <v>141</v>
      </c>
      <c r="B32" t="s">
        <v>62</v>
      </c>
      <c r="C32" t="s">
        <v>58</v>
      </c>
      <c r="D32" t="s">
        <v>53</v>
      </c>
      <c r="E32" t="s">
        <v>142</v>
      </c>
      <c r="F32" t="s">
        <v>71</v>
      </c>
      <c r="G32" s="5">
        <v>8.8000000000000007</v>
      </c>
      <c r="H32" s="7">
        <v>0.59199999999999997</v>
      </c>
      <c r="I32" s="5" t="s">
        <v>38</v>
      </c>
      <c r="J32" t="s">
        <v>39</v>
      </c>
      <c r="K32" t="s">
        <v>87</v>
      </c>
      <c r="L32" t="s">
        <v>80</v>
      </c>
      <c r="M32" t="s">
        <v>96</v>
      </c>
      <c r="N32" s="8">
        <v>46240</v>
      </c>
      <c r="O32" s="8">
        <v>46254</v>
      </c>
      <c r="P32" t="s">
        <v>42</v>
      </c>
      <c r="Q32" s="8"/>
      <c r="R32" t="s">
        <v>38</v>
      </c>
      <c r="S3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3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3" spans="1:20">
      <c r="A33" t="s">
        <v>143</v>
      </c>
      <c r="B33" t="s">
        <v>144</v>
      </c>
      <c r="C33" t="s">
        <v>22</v>
      </c>
      <c r="D33" t="s">
        <v>113</v>
      </c>
      <c r="E33" t="s">
        <v>47</v>
      </c>
      <c r="F33" t="s">
        <v>37</v>
      </c>
      <c r="G33" s="5">
        <v>10</v>
      </c>
      <c r="H33" s="7">
        <v>0.151</v>
      </c>
      <c r="I33" s="5" t="s">
        <v>26</v>
      </c>
      <c r="J33" t="s">
        <v>27</v>
      </c>
      <c r="K33" t="s">
        <v>28</v>
      </c>
      <c r="L33" t="s">
        <v>48</v>
      </c>
      <c r="M33" t="s">
        <v>49</v>
      </c>
      <c r="N33" s="8">
        <v>46239</v>
      </c>
      <c r="O33" s="8">
        <v>46246</v>
      </c>
      <c r="P33" t="s">
        <v>50</v>
      </c>
      <c r="Q33" s="8"/>
      <c r="R33" t="s">
        <v>26</v>
      </c>
      <c r="S3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3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4" spans="1:20">
      <c r="A34" t="s">
        <v>145</v>
      </c>
      <c r="B34" t="s">
        <v>69</v>
      </c>
      <c r="C34" t="s">
        <v>22</v>
      </c>
      <c r="D34" t="s">
        <v>84</v>
      </c>
      <c r="E34" t="s">
        <v>146</v>
      </c>
      <c r="F34" t="s">
        <v>147</v>
      </c>
      <c r="G34" s="5">
        <v>7.5</v>
      </c>
      <c r="H34" s="7">
        <v>0.58899999999999997</v>
      </c>
      <c r="I34" s="5" t="s">
        <v>38</v>
      </c>
      <c r="J34" t="s">
        <v>39</v>
      </c>
      <c r="K34" t="s">
        <v>28</v>
      </c>
      <c r="L34" t="s">
        <v>99</v>
      </c>
      <c r="M34" t="s">
        <v>100</v>
      </c>
      <c r="N34" s="8">
        <v>46247</v>
      </c>
      <c r="O34" s="8">
        <v>46260</v>
      </c>
      <c r="P34" t="s">
        <v>42</v>
      </c>
      <c r="Q34" s="8"/>
      <c r="R34" t="s">
        <v>38</v>
      </c>
      <c r="S3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5" spans="1:20">
      <c r="A35" t="s">
        <v>148</v>
      </c>
      <c r="B35" t="s">
        <v>149</v>
      </c>
      <c r="C35" t="s">
        <v>58</v>
      </c>
      <c r="D35" t="s">
        <v>23</v>
      </c>
      <c r="E35" t="s">
        <v>64</v>
      </c>
      <c r="F35" t="s">
        <v>37</v>
      </c>
      <c r="G35" s="5">
        <v>10</v>
      </c>
      <c r="H35" s="7">
        <v>5.0999999999999997E-2</v>
      </c>
      <c r="I35" s="5" t="s">
        <v>26</v>
      </c>
      <c r="J35" t="s">
        <v>27</v>
      </c>
      <c r="K35" t="s">
        <v>60</v>
      </c>
      <c r="L35" t="s">
        <v>54</v>
      </c>
      <c r="M35" t="s">
        <v>55</v>
      </c>
      <c r="N35" s="8">
        <v>46241</v>
      </c>
      <c r="O35" s="8">
        <v>46245</v>
      </c>
      <c r="P35" t="s">
        <v>101</v>
      </c>
      <c r="Q35" s="8">
        <v>46249</v>
      </c>
      <c r="R35" t="s">
        <v>26</v>
      </c>
      <c r="S3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6" spans="1:20">
      <c r="A36" t="s">
        <v>150</v>
      </c>
      <c r="B36" t="s">
        <v>151</v>
      </c>
      <c r="C36" t="s">
        <v>22</v>
      </c>
      <c r="D36" t="s">
        <v>63</v>
      </c>
      <c r="E36" t="s">
        <v>24</v>
      </c>
      <c r="F36" t="s">
        <v>25</v>
      </c>
      <c r="G36" s="5">
        <v>10</v>
      </c>
      <c r="H36" s="7">
        <v>0.48599999999999999</v>
      </c>
      <c r="I36" s="5" t="s">
        <v>26</v>
      </c>
      <c r="J36" t="s">
        <v>39</v>
      </c>
      <c r="K36" t="s">
        <v>28</v>
      </c>
      <c r="L36" t="s">
        <v>99</v>
      </c>
      <c r="M36" t="s">
        <v>100</v>
      </c>
      <c r="N36" s="8">
        <v>46260</v>
      </c>
      <c r="O36" s="8">
        <v>46267</v>
      </c>
      <c r="P36" t="s">
        <v>101</v>
      </c>
      <c r="Q36" s="8">
        <v>46272</v>
      </c>
      <c r="R36" t="s">
        <v>38</v>
      </c>
      <c r="S3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" spans="1:20">
      <c r="A37" t="s">
        <v>152</v>
      </c>
      <c r="B37" t="s">
        <v>153</v>
      </c>
      <c r="C37" t="s">
        <v>34</v>
      </c>
      <c r="D37" t="s">
        <v>104</v>
      </c>
      <c r="E37" t="s">
        <v>24</v>
      </c>
      <c r="F37" t="s">
        <v>25</v>
      </c>
      <c r="G37" s="5">
        <v>10</v>
      </c>
      <c r="H37" s="7">
        <v>0.433</v>
      </c>
      <c r="I37" s="5" t="s">
        <v>26</v>
      </c>
      <c r="J37" t="s">
        <v>110</v>
      </c>
      <c r="K37" t="s">
        <v>28</v>
      </c>
      <c r="L37" t="s">
        <v>48</v>
      </c>
      <c r="M37" t="s">
        <v>132</v>
      </c>
      <c r="N37" s="8">
        <v>46258</v>
      </c>
      <c r="O37" s="8">
        <v>46265</v>
      </c>
      <c r="P37" t="s">
        <v>31</v>
      </c>
      <c r="Q37" s="8">
        <v>46262</v>
      </c>
      <c r="R37" t="s">
        <v>38</v>
      </c>
      <c r="S3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8" spans="1:20">
      <c r="A38" t="s">
        <v>154</v>
      </c>
      <c r="B38" t="s">
        <v>155</v>
      </c>
      <c r="C38" t="s">
        <v>58</v>
      </c>
      <c r="D38" t="s">
        <v>23</v>
      </c>
      <c r="E38" t="s">
        <v>24</v>
      </c>
      <c r="F38" t="s">
        <v>25</v>
      </c>
      <c r="G38" s="5">
        <v>10</v>
      </c>
      <c r="H38" s="7">
        <v>6.3E-2</v>
      </c>
      <c r="I38" s="5" t="s">
        <v>26</v>
      </c>
      <c r="J38" t="s">
        <v>27</v>
      </c>
      <c r="K38" t="s">
        <v>60</v>
      </c>
      <c r="L38" t="s">
        <v>80</v>
      </c>
      <c r="M38" t="s">
        <v>81</v>
      </c>
      <c r="N38" s="8">
        <v>46243</v>
      </c>
      <c r="O38" s="8">
        <v>46246</v>
      </c>
      <c r="P38" t="s">
        <v>91</v>
      </c>
      <c r="Q38" s="8"/>
      <c r="R38" t="s">
        <v>26</v>
      </c>
      <c r="S3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9" spans="1:20">
      <c r="A39" t="s">
        <v>156</v>
      </c>
      <c r="B39" t="s">
        <v>157</v>
      </c>
      <c r="C39" t="s">
        <v>34</v>
      </c>
      <c r="D39" t="s">
        <v>84</v>
      </c>
      <c r="E39" t="s">
        <v>64</v>
      </c>
      <c r="F39" t="s">
        <v>37</v>
      </c>
      <c r="G39" s="5">
        <v>9.8000000000000007</v>
      </c>
      <c r="H39" s="7">
        <v>0.58499999999999996</v>
      </c>
      <c r="I39" s="5" t="s">
        <v>38</v>
      </c>
      <c r="J39" t="s">
        <v>39</v>
      </c>
      <c r="K39" t="s">
        <v>60</v>
      </c>
      <c r="L39" t="s">
        <v>80</v>
      </c>
      <c r="M39" t="s">
        <v>96</v>
      </c>
      <c r="N39" s="8">
        <v>46261</v>
      </c>
      <c r="O39" s="8">
        <v>46267</v>
      </c>
      <c r="P39" t="s">
        <v>42</v>
      </c>
      <c r="Q39" s="8"/>
      <c r="R39" t="s">
        <v>38</v>
      </c>
      <c r="S3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3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0" spans="1:20">
      <c r="A40" t="s">
        <v>158</v>
      </c>
      <c r="B40" t="s">
        <v>159</v>
      </c>
      <c r="C40" t="s">
        <v>22</v>
      </c>
      <c r="D40" t="s">
        <v>46</v>
      </c>
      <c r="E40" t="s">
        <v>116</v>
      </c>
      <c r="F40" t="s">
        <v>37</v>
      </c>
      <c r="G40" s="5">
        <v>8.1</v>
      </c>
      <c r="H40" s="7">
        <v>0.57499999999999996</v>
      </c>
      <c r="I40" s="5" t="s">
        <v>26</v>
      </c>
      <c r="J40" t="s">
        <v>39</v>
      </c>
      <c r="K40" t="s">
        <v>28</v>
      </c>
      <c r="L40" t="s">
        <v>48</v>
      </c>
      <c r="M40" t="s">
        <v>49</v>
      </c>
      <c r="N40" s="8">
        <v>46252</v>
      </c>
      <c r="O40" s="8">
        <v>46266</v>
      </c>
      <c r="P40" t="s">
        <v>42</v>
      </c>
      <c r="Q40" s="8"/>
      <c r="R40" t="s">
        <v>38</v>
      </c>
      <c r="S4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1" spans="1:20">
      <c r="A41" t="s">
        <v>160</v>
      </c>
      <c r="B41" t="s">
        <v>161</v>
      </c>
      <c r="C41" t="s">
        <v>34</v>
      </c>
      <c r="D41" t="s">
        <v>53</v>
      </c>
      <c r="E41" t="s">
        <v>70</v>
      </c>
      <c r="F41" t="s">
        <v>71</v>
      </c>
      <c r="G41" s="5">
        <v>10</v>
      </c>
      <c r="H41" s="7">
        <v>0.40100000000000002</v>
      </c>
      <c r="I41" s="5" t="s">
        <v>26</v>
      </c>
      <c r="J41" t="s">
        <v>27</v>
      </c>
      <c r="K41" t="s">
        <v>87</v>
      </c>
      <c r="L41" t="s">
        <v>99</v>
      </c>
      <c r="M41" t="s">
        <v>100</v>
      </c>
      <c r="N41" s="8">
        <v>46253</v>
      </c>
      <c r="O41" s="8">
        <v>46260</v>
      </c>
      <c r="P41" t="s">
        <v>101</v>
      </c>
      <c r="Q41" s="8">
        <v>46260</v>
      </c>
      <c r="R41" t="s">
        <v>26</v>
      </c>
      <c r="S4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4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2" spans="1:20">
      <c r="A42" t="s">
        <v>162</v>
      </c>
      <c r="B42" t="s">
        <v>163</v>
      </c>
      <c r="C42" t="s">
        <v>22</v>
      </c>
      <c r="D42" t="s">
        <v>23</v>
      </c>
      <c r="E42" t="s">
        <v>47</v>
      </c>
      <c r="F42" t="s">
        <v>37</v>
      </c>
      <c r="G42" s="5">
        <v>10</v>
      </c>
      <c r="H42" s="7">
        <v>0.56899999999999995</v>
      </c>
      <c r="I42" s="5" t="s">
        <v>38</v>
      </c>
      <c r="J42" t="s">
        <v>110</v>
      </c>
      <c r="K42" t="s">
        <v>60</v>
      </c>
      <c r="L42" t="s">
        <v>54</v>
      </c>
      <c r="M42" t="s">
        <v>55</v>
      </c>
      <c r="N42" s="8">
        <v>46271</v>
      </c>
      <c r="O42" s="8">
        <v>46278</v>
      </c>
      <c r="P42" t="s">
        <v>42</v>
      </c>
      <c r="Q42" s="8"/>
      <c r="R42" t="s">
        <v>38</v>
      </c>
      <c r="S4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4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3" spans="1:20">
      <c r="A43" t="s">
        <v>164</v>
      </c>
      <c r="B43" t="s">
        <v>165</v>
      </c>
      <c r="C43" t="s">
        <v>59</v>
      </c>
      <c r="D43" t="s">
        <v>84</v>
      </c>
      <c r="E43" t="s">
        <v>125</v>
      </c>
      <c r="F43" t="s">
        <v>126</v>
      </c>
      <c r="G43" s="5">
        <v>8.6</v>
      </c>
      <c r="H43" s="7">
        <v>0.56799999999999995</v>
      </c>
      <c r="I43" s="5" t="s">
        <v>38</v>
      </c>
      <c r="J43" t="s">
        <v>39</v>
      </c>
      <c r="K43" t="s">
        <v>87</v>
      </c>
      <c r="L43" t="s">
        <v>40</v>
      </c>
      <c r="M43" t="s">
        <v>41</v>
      </c>
      <c r="N43" s="8">
        <v>46261</v>
      </c>
      <c r="O43" s="8">
        <v>46275</v>
      </c>
      <c r="P43" t="s">
        <v>42</v>
      </c>
      <c r="Q43" s="8"/>
      <c r="R43" t="s">
        <v>38</v>
      </c>
      <c r="S4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4" spans="1:20">
      <c r="A44" t="s">
        <v>166</v>
      </c>
      <c r="B44" t="s">
        <v>167</v>
      </c>
      <c r="C44" t="s">
        <v>58</v>
      </c>
      <c r="D44" t="s">
        <v>35</v>
      </c>
      <c r="E44" t="s">
        <v>64</v>
      </c>
      <c r="F44" t="s">
        <v>37</v>
      </c>
      <c r="G44" s="5">
        <v>9.8000000000000007</v>
      </c>
      <c r="H44" s="7">
        <v>0.56299999999999994</v>
      </c>
      <c r="I44" s="5" t="s">
        <v>38</v>
      </c>
      <c r="J44" t="s">
        <v>39</v>
      </c>
      <c r="K44" t="s">
        <v>60</v>
      </c>
      <c r="L44" t="s">
        <v>54</v>
      </c>
      <c r="M44" t="s">
        <v>55</v>
      </c>
      <c r="N44" s="8">
        <v>46254</v>
      </c>
      <c r="O44" s="8">
        <v>46261</v>
      </c>
      <c r="P44" t="s">
        <v>42</v>
      </c>
      <c r="Q44" s="8"/>
      <c r="R44" t="s">
        <v>38</v>
      </c>
      <c r="S4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4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5" spans="1:20">
      <c r="A45" t="s">
        <v>168</v>
      </c>
      <c r="B45" t="s">
        <v>169</v>
      </c>
      <c r="C45" t="s">
        <v>45</v>
      </c>
      <c r="D45" t="s">
        <v>90</v>
      </c>
      <c r="E45" t="s">
        <v>64</v>
      </c>
      <c r="F45" t="s">
        <v>37</v>
      </c>
      <c r="G45" s="5">
        <v>9.8000000000000007</v>
      </c>
      <c r="H45" s="7">
        <v>0.54800000000000004</v>
      </c>
      <c r="I45" s="5" t="s">
        <v>26</v>
      </c>
      <c r="J45" t="s">
        <v>110</v>
      </c>
      <c r="K45" t="s">
        <v>28</v>
      </c>
      <c r="L45" t="s">
        <v>40</v>
      </c>
      <c r="M45" t="s">
        <v>72</v>
      </c>
      <c r="N45" s="8">
        <v>46270</v>
      </c>
      <c r="O45" s="8">
        <v>46274</v>
      </c>
      <c r="P45" t="s">
        <v>101</v>
      </c>
      <c r="Q45" s="8">
        <v>46300</v>
      </c>
      <c r="R45" t="s">
        <v>38</v>
      </c>
      <c r="S4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4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6" spans="1:20">
      <c r="A46" t="s">
        <v>170</v>
      </c>
      <c r="B46" t="s">
        <v>171</v>
      </c>
      <c r="C46" t="s">
        <v>34</v>
      </c>
      <c r="D46" t="s">
        <v>90</v>
      </c>
      <c r="E46" t="s">
        <v>24</v>
      </c>
      <c r="F46" t="s">
        <v>25</v>
      </c>
      <c r="G46" s="5">
        <v>10</v>
      </c>
      <c r="H46" s="7">
        <v>0.56000000000000005</v>
      </c>
      <c r="I46" s="5" t="s">
        <v>38</v>
      </c>
      <c r="J46" t="s">
        <v>39</v>
      </c>
      <c r="K46" t="s">
        <v>87</v>
      </c>
      <c r="L46" t="s">
        <v>48</v>
      </c>
      <c r="M46" t="s">
        <v>132</v>
      </c>
      <c r="N46" s="8">
        <v>46254</v>
      </c>
      <c r="O46" s="8">
        <v>46261</v>
      </c>
      <c r="P46" t="s">
        <v>42</v>
      </c>
      <c r="Q46" s="8"/>
      <c r="R46" t="s">
        <v>38</v>
      </c>
      <c r="S4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4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7" spans="1:20">
      <c r="A47" t="s">
        <v>172</v>
      </c>
      <c r="B47" t="s">
        <v>173</v>
      </c>
      <c r="C47" t="s">
        <v>79</v>
      </c>
      <c r="D47" t="s">
        <v>84</v>
      </c>
      <c r="E47" t="s">
        <v>146</v>
      </c>
      <c r="F47" t="s">
        <v>147</v>
      </c>
      <c r="G47" s="5">
        <v>7.5</v>
      </c>
      <c r="H47" s="7">
        <v>0.54200000000000004</v>
      </c>
      <c r="I47" s="5" t="s">
        <v>38</v>
      </c>
      <c r="J47" t="s">
        <v>39</v>
      </c>
      <c r="K47" t="s">
        <v>28</v>
      </c>
      <c r="L47" t="s">
        <v>75</v>
      </c>
      <c r="M47" t="s">
        <v>76</v>
      </c>
      <c r="N47" s="8">
        <v>46242</v>
      </c>
      <c r="O47" s="8">
        <v>46252</v>
      </c>
      <c r="P47" t="s">
        <v>42</v>
      </c>
      <c r="Q47" s="8"/>
      <c r="R47" t="s">
        <v>38</v>
      </c>
      <c r="S4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8" spans="1:20">
      <c r="A48" t="s">
        <v>174</v>
      </c>
      <c r="B48" t="s">
        <v>175</v>
      </c>
      <c r="C48" t="s">
        <v>79</v>
      </c>
      <c r="D48" t="s">
        <v>109</v>
      </c>
      <c r="E48" t="s">
        <v>24</v>
      </c>
      <c r="F48" t="s">
        <v>25</v>
      </c>
      <c r="G48" s="5">
        <v>10</v>
      </c>
      <c r="H48" s="7">
        <v>0.34599999999999997</v>
      </c>
      <c r="I48" s="5" t="s">
        <v>26</v>
      </c>
      <c r="J48" t="s">
        <v>27</v>
      </c>
      <c r="K48" t="s">
        <v>87</v>
      </c>
      <c r="L48" t="s">
        <v>80</v>
      </c>
      <c r="M48" t="s">
        <v>96</v>
      </c>
      <c r="N48" s="8">
        <v>46238</v>
      </c>
      <c r="O48" s="8">
        <v>46245</v>
      </c>
      <c r="P48" t="s">
        <v>31</v>
      </c>
      <c r="Q48" s="8">
        <v>46252</v>
      </c>
      <c r="R48" t="s">
        <v>26</v>
      </c>
      <c r="S4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4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" spans="1:20">
      <c r="A49" t="s">
        <v>176</v>
      </c>
      <c r="B49" t="s">
        <v>177</v>
      </c>
      <c r="C49" t="s">
        <v>34</v>
      </c>
      <c r="D49" t="s">
        <v>23</v>
      </c>
      <c r="E49" t="s">
        <v>64</v>
      </c>
      <c r="F49" t="s">
        <v>37</v>
      </c>
      <c r="G49" s="5">
        <v>10</v>
      </c>
      <c r="H49" s="7">
        <v>0.10199999999999999</v>
      </c>
      <c r="I49" s="5" t="s">
        <v>26</v>
      </c>
      <c r="J49" t="s">
        <v>27</v>
      </c>
      <c r="K49" t="s">
        <v>60</v>
      </c>
      <c r="L49" t="s">
        <v>48</v>
      </c>
      <c r="M49" t="s">
        <v>132</v>
      </c>
      <c r="N49" s="8">
        <v>46265</v>
      </c>
      <c r="O49" s="8">
        <v>46272</v>
      </c>
      <c r="P49" t="s">
        <v>101</v>
      </c>
      <c r="Q49" s="8">
        <v>46290</v>
      </c>
      <c r="R49" t="s">
        <v>26</v>
      </c>
      <c r="S4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4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0" spans="1:20">
      <c r="A50" t="s">
        <v>178</v>
      </c>
      <c r="B50" t="s">
        <v>179</v>
      </c>
      <c r="C50" t="s">
        <v>34</v>
      </c>
      <c r="D50" t="s">
        <v>113</v>
      </c>
      <c r="E50" t="s">
        <v>36</v>
      </c>
      <c r="F50" t="s">
        <v>37</v>
      </c>
      <c r="G50" s="5">
        <v>9.8000000000000007</v>
      </c>
      <c r="H50" s="7">
        <v>0.53100000000000003</v>
      </c>
      <c r="I50" s="5" t="s">
        <v>38</v>
      </c>
      <c r="J50" t="s">
        <v>39</v>
      </c>
      <c r="K50" t="s">
        <v>87</v>
      </c>
      <c r="L50" t="s">
        <v>99</v>
      </c>
      <c r="M50" t="s">
        <v>100</v>
      </c>
      <c r="N50" s="8">
        <v>46235</v>
      </c>
      <c r="O50" s="8">
        <v>46242</v>
      </c>
      <c r="P50" t="s">
        <v>42</v>
      </c>
      <c r="Q50" s="8"/>
      <c r="R50" t="s">
        <v>38</v>
      </c>
      <c r="S5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5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1" spans="1:20">
      <c r="A51" t="s">
        <v>180</v>
      </c>
      <c r="B51" t="s">
        <v>103</v>
      </c>
      <c r="C51" t="s">
        <v>58</v>
      </c>
      <c r="D51" t="s">
        <v>90</v>
      </c>
      <c r="E51" t="s">
        <v>47</v>
      </c>
      <c r="F51" t="s">
        <v>37</v>
      </c>
      <c r="G51" s="5">
        <v>10</v>
      </c>
      <c r="H51" s="7">
        <v>0.35299999999999998</v>
      </c>
      <c r="I51" s="5" t="s">
        <v>26</v>
      </c>
      <c r="J51" t="s">
        <v>110</v>
      </c>
      <c r="K51" t="s">
        <v>28</v>
      </c>
      <c r="L51" t="s">
        <v>54</v>
      </c>
      <c r="M51" t="s">
        <v>55</v>
      </c>
      <c r="N51" s="8">
        <v>46259</v>
      </c>
      <c r="O51" s="8">
        <v>46266</v>
      </c>
      <c r="P51" t="s">
        <v>50</v>
      </c>
      <c r="Q51" s="8"/>
      <c r="R51" t="s">
        <v>38</v>
      </c>
      <c r="S5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2" spans="1:20">
      <c r="A52" t="s">
        <v>181</v>
      </c>
      <c r="B52" t="s">
        <v>182</v>
      </c>
      <c r="C52" t="s">
        <v>45</v>
      </c>
      <c r="D52" t="s">
        <v>63</v>
      </c>
      <c r="E52" t="s">
        <v>24</v>
      </c>
      <c r="F52" t="s">
        <v>25</v>
      </c>
      <c r="G52" s="5">
        <v>10</v>
      </c>
      <c r="H52" s="7">
        <v>0.29899999999999999</v>
      </c>
      <c r="I52" s="5" t="s">
        <v>26</v>
      </c>
      <c r="J52" t="s">
        <v>39</v>
      </c>
      <c r="K52" t="s">
        <v>28</v>
      </c>
      <c r="L52" t="s">
        <v>29</v>
      </c>
      <c r="M52" t="s">
        <v>65</v>
      </c>
      <c r="N52" s="8">
        <v>46248</v>
      </c>
      <c r="O52" s="8">
        <v>46255</v>
      </c>
      <c r="P52" t="s">
        <v>50</v>
      </c>
      <c r="Q52" s="8"/>
      <c r="R52" t="s">
        <v>38</v>
      </c>
      <c r="S5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" spans="1:20">
      <c r="A53" t="s">
        <v>183</v>
      </c>
      <c r="B53" t="s">
        <v>184</v>
      </c>
      <c r="C53" t="s">
        <v>45</v>
      </c>
      <c r="D53" t="s">
        <v>104</v>
      </c>
      <c r="E53" t="s">
        <v>47</v>
      </c>
      <c r="F53" t="s">
        <v>37</v>
      </c>
      <c r="G53" s="5">
        <v>10</v>
      </c>
      <c r="H53" s="7">
        <v>0.40600000000000003</v>
      </c>
      <c r="I53" s="5" t="s">
        <v>26</v>
      </c>
      <c r="J53" t="s">
        <v>39</v>
      </c>
      <c r="K53" t="s">
        <v>28</v>
      </c>
      <c r="L53" t="s">
        <v>40</v>
      </c>
      <c r="M53" t="s">
        <v>72</v>
      </c>
      <c r="N53" s="8">
        <v>46262</v>
      </c>
      <c r="O53" s="8">
        <v>46269</v>
      </c>
      <c r="P53" t="s">
        <v>101</v>
      </c>
      <c r="Q53" s="8">
        <v>46285</v>
      </c>
      <c r="R53" t="s">
        <v>38</v>
      </c>
      <c r="S5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4" spans="1:20">
      <c r="A54" t="s">
        <v>185</v>
      </c>
      <c r="B54" t="s">
        <v>186</v>
      </c>
      <c r="C54" t="s">
        <v>79</v>
      </c>
      <c r="D54" t="s">
        <v>113</v>
      </c>
      <c r="E54" t="s">
        <v>64</v>
      </c>
      <c r="F54" t="s">
        <v>37</v>
      </c>
      <c r="G54" s="5">
        <v>9.8000000000000007</v>
      </c>
      <c r="H54" s="7">
        <v>0.54</v>
      </c>
      <c r="I54" s="5" t="s">
        <v>26</v>
      </c>
      <c r="J54" t="s">
        <v>39</v>
      </c>
      <c r="K54" t="s">
        <v>28</v>
      </c>
      <c r="L54" t="s">
        <v>75</v>
      </c>
      <c r="M54" t="s">
        <v>76</v>
      </c>
      <c r="N54" s="8">
        <v>46267</v>
      </c>
      <c r="O54" s="8">
        <v>46273</v>
      </c>
      <c r="P54" t="s">
        <v>31</v>
      </c>
      <c r="Q54" s="8">
        <v>46299</v>
      </c>
      <c r="R54" t="s">
        <v>38</v>
      </c>
      <c r="S5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5" spans="1:20">
      <c r="A55" t="s">
        <v>187</v>
      </c>
      <c r="B55" t="s">
        <v>188</v>
      </c>
      <c r="C55" t="s">
        <v>34</v>
      </c>
      <c r="D55" t="s">
        <v>59</v>
      </c>
      <c r="E55" t="s">
        <v>36</v>
      </c>
      <c r="F55" t="s">
        <v>37</v>
      </c>
      <c r="G55" s="5">
        <v>9.8000000000000007</v>
      </c>
      <c r="H55" s="7">
        <v>0.52600000000000002</v>
      </c>
      <c r="I55" s="5" t="s">
        <v>38</v>
      </c>
      <c r="J55" t="s">
        <v>39</v>
      </c>
      <c r="K55" t="s">
        <v>87</v>
      </c>
      <c r="L55" t="s">
        <v>99</v>
      </c>
      <c r="M55" t="s">
        <v>100</v>
      </c>
      <c r="N55" s="8">
        <v>46238</v>
      </c>
      <c r="O55" s="8">
        <v>46245</v>
      </c>
      <c r="P55" t="s">
        <v>42</v>
      </c>
      <c r="Q55" s="8"/>
      <c r="R55" t="s">
        <v>38</v>
      </c>
      <c r="S5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5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6" spans="1:20">
      <c r="A56" t="s">
        <v>189</v>
      </c>
      <c r="B56" t="s">
        <v>190</v>
      </c>
      <c r="C56" t="s">
        <v>59</v>
      </c>
      <c r="D56" t="s">
        <v>63</v>
      </c>
      <c r="E56" t="s">
        <v>47</v>
      </c>
      <c r="F56" t="s">
        <v>37</v>
      </c>
      <c r="G56" s="5">
        <v>10</v>
      </c>
      <c r="H56" s="7">
        <v>0.27500000000000002</v>
      </c>
      <c r="I56" s="5" t="s">
        <v>26</v>
      </c>
      <c r="J56" t="s">
        <v>39</v>
      </c>
      <c r="K56" t="s">
        <v>28</v>
      </c>
      <c r="L56" t="s">
        <v>48</v>
      </c>
      <c r="M56" t="s">
        <v>49</v>
      </c>
      <c r="N56" s="8">
        <v>46262</v>
      </c>
      <c r="O56" s="8">
        <v>46267</v>
      </c>
      <c r="P56" t="s">
        <v>101</v>
      </c>
      <c r="Q56" s="8">
        <v>46283</v>
      </c>
      <c r="R56" t="s">
        <v>38</v>
      </c>
      <c r="S5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" spans="1:20">
      <c r="A57" t="s">
        <v>191</v>
      </c>
      <c r="B57" t="s">
        <v>192</v>
      </c>
      <c r="C57" t="s">
        <v>58</v>
      </c>
      <c r="D57" t="s">
        <v>104</v>
      </c>
      <c r="E57" t="s">
        <v>70</v>
      </c>
      <c r="F57" t="s">
        <v>71</v>
      </c>
      <c r="G57" s="5">
        <v>9.8000000000000007</v>
      </c>
      <c r="H57" s="7">
        <v>0.184</v>
      </c>
      <c r="I57" s="5" t="s">
        <v>26</v>
      </c>
      <c r="J57" t="s">
        <v>27</v>
      </c>
      <c r="K57" t="s">
        <v>28</v>
      </c>
      <c r="L57" t="s">
        <v>40</v>
      </c>
      <c r="M57" t="s">
        <v>72</v>
      </c>
      <c r="N57" s="8">
        <v>46251</v>
      </c>
      <c r="O57" s="8">
        <v>46258</v>
      </c>
      <c r="P57" t="s">
        <v>31</v>
      </c>
      <c r="Q57" s="8">
        <v>46260</v>
      </c>
      <c r="R57" t="s">
        <v>26</v>
      </c>
      <c r="S5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8" spans="1:20">
      <c r="A58" t="s">
        <v>193</v>
      </c>
      <c r="B58" t="s">
        <v>194</v>
      </c>
      <c r="C58" t="s">
        <v>22</v>
      </c>
      <c r="D58" t="s">
        <v>63</v>
      </c>
      <c r="E58" t="s">
        <v>24</v>
      </c>
      <c r="F58" t="s">
        <v>25</v>
      </c>
      <c r="G58" s="5">
        <v>10</v>
      </c>
      <c r="H58" s="7">
        <v>0.44400000000000001</v>
      </c>
      <c r="I58" s="5" t="s">
        <v>26</v>
      </c>
      <c r="J58" t="s">
        <v>39</v>
      </c>
      <c r="K58" t="s">
        <v>28</v>
      </c>
      <c r="L58" t="s">
        <v>99</v>
      </c>
      <c r="M58" t="s">
        <v>100</v>
      </c>
      <c r="N58" s="8">
        <v>46270</v>
      </c>
      <c r="O58" s="8">
        <v>46277</v>
      </c>
      <c r="P58" t="s">
        <v>31</v>
      </c>
      <c r="Q58" s="8">
        <v>46301</v>
      </c>
      <c r="R58" t="s">
        <v>38</v>
      </c>
      <c r="S5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9" spans="1:20">
      <c r="A59" t="s">
        <v>195</v>
      </c>
      <c r="B59" t="s">
        <v>196</v>
      </c>
      <c r="C59" t="s">
        <v>22</v>
      </c>
      <c r="D59" t="s">
        <v>35</v>
      </c>
      <c r="E59" t="s">
        <v>36</v>
      </c>
      <c r="F59" t="s">
        <v>37</v>
      </c>
      <c r="G59" s="5">
        <v>9.8000000000000007</v>
      </c>
      <c r="H59" s="7">
        <v>0.52100000000000002</v>
      </c>
      <c r="I59" s="5" t="s">
        <v>38</v>
      </c>
      <c r="J59" t="s">
        <v>27</v>
      </c>
      <c r="K59" t="s">
        <v>87</v>
      </c>
      <c r="L59" t="s">
        <v>54</v>
      </c>
      <c r="M59" t="s">
        <v>55</v>
      </c>
      <c r="N59" s="8">
        <v>46263</v>
      </c>
      <c r="O59" s="8">
        <v>46270</v>
      </c>
      <c r="P59" t="s">
        <v>42</v>
      </c>
      <c r="Q59" s="8"/>
      <c r="R59" t="s">
        <v>26</v>
      </c>
      <c r="S5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5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60" spans="1:20">
      <c r="A60" t="s">
        <v>197</v>
      </c>
      <c r="B60" t="s">
        <v>198</v>
      </c>
      <c r="C60" t="s">
        <v>58</v>
      </c>
      <c r="D60" t="s">
        <v>63</v>
      </c>
      <c r="E60" t="s">
        <v>24</v>
      </c>
      <c r="F60" t="s">
        <v>25</v>
      </c>
      <c r="G60" s="5">
        <v>10</v>
      </c>
      <c r="H60" s="7">
        <v>0.309</v>
      </c>
      <c r="I60" s="5" t="s">
        <v>26</v>
      </c>
      <c r="J60" t="s">
        <v>39</v>
      </c>
      <c r="K60" t="s">
        <v>28</v>
      </c>
      <c r="L60" t="s">
        <v>75</v>
      </c>
      <c r="M60" t="s">
        <v>76</v>
      </c>
      <c r="N60" s="8">
        <v>46251</v>
      </c>
      <c r="O60" s="8">
        <v>46258</v>
      </c>
      <c r="P60" t="s">
        <v>31</v>
      </c>
      <c r="Q60" s="8">
        <v>46253</v>
      </c>
      <c r="R60" t="s">
        <v>38</v>
      </c>
      <c r="S6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6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61" spans="1:20">
      <c r="A61" t="s">
        <v>199</v>
      </c>
      <c r="B61" t="s">
        <v>200</v>
      </c>
      <c r="C61" t="s">
        <v>22</v>
      </c>
      <c r="D61" t="s">
        <v>90</v>
      </c>
      <c r="E61" t="s">
        <v>201</v>
      </c>
      <c r="F61" t="s">
        <v>202</v>
      </c>
      <c r="G61" s="5">
        <v>9.8000000000000007</v>
      </c>
      <c r="H61" s="7">
        <v>0.52</v>
      </c>
      <c r="I61" s="5" t="s">
        <v>38</v>
      </c>
      <c r="J61" t="s">
        <v>27</v>
      </c>
      <c r="K61" t="s">
        <v>60</v>
      </c>
      <c r="L61" t="s">
        <v>40</v>
      </c>
      <c r="M61" t="s">
        <v>72</v>
      </c>
      <c r="N61" s="8">
        <v>46235</v>
      </c>
      <c r="O61" s="8">
        <v>46242</v>
      </c>
      <c r="P61" t="s">
        <v>42</v>
      </c>
      <c r="Q61" s="8"/>
      <c r="R61" t="s">
        <v>26</v>
      </c>
      <c r="S6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6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62" spans="1:20">
      <c r="A62" t="s">
        <v>203</v>
      </c>
      <c r="B62" t="s">
        <v>204</v>
      </c>
      <c r="C62" t="s">
        <v>34</v>
      </c>
      <c r="D62" t="s">
        <v>53</v>
      </c>
      <c r="E62" t="s">
        <v>47</v>
      </c>
      <c r="F62" t="s">
        <v>37</v>
      </c>
      <c r="G62" s="5">
        <v>10</v>
      </c>
      <c r="H62" s="7">
        <v>0.71199999999999997</v>
      </c>
      <c r="I62" s="5" t="s">
        <v>26</v>
      </c>
      <c r="J62" t="s">
        <v>39</v>
      </c>
      <c r="K62" t="s">
        <v>60</v>
      </c>
      <c r="L62" t="s">
        <v>48</v>
      </c>
      <c r="M62" t="s">
        <v>132</v>
      </c>
      <c r="N62" s="8">
        <v>46245</v>
      </c>
      <c r="O62" s="8">
        <v>46252</v>
      </c>
      <c r="P62" t="s">
        <v>50</v>
      </c>
      <c r="Q62" s="8"/>
      <c r="R62" t="s">
        <v>38</v>
      </c>
      <c r="S6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6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63" spans="1:20">
      <c r="A63" t="s">
        <v>205</v>
      </c>
      <c r="B63" t="s">
        <v>206</v>
      </c>
      <c r="C63" t="s">
        <v>22</v>
      </c>
      <c r="D63" t="s">
        <v>23</v>
      </c>
      <c r="E63" t="s">
        <v>47</v>
      </c>
      <c r="F63" t="s">
        <v>37</v>
      </c>
      <c r="G63" s="5">
        <v>10</v>
      </c>
      <c r="H63" s="7">
        <v>0.51700000000000002</v>
      </c>
      <c r="I63" s="5" t="s">
        <v>26</v>
      </c>
      <c r="J63" t="s">
        <v>39</v>
      </c>
      <c r="K63" t="s">
        <v>60</v>
      </c>
      <c r="L63" t="s">
        <v>54</v>
      </c>
      <c r="M63" t="s">
        <v>55</v>
      </c>
      <c r="N63" s="8">
        <v>46261</v>
      </c>
      <c r="O63" s="8">
        <v>46268</v>
      </c>
      <c r="P63" t="s">
        <v>50</v>
      </c>
      <c r="Q63" s="8"/>
      <c r="R63" t="s">
        <v>38</v>
      </c>
      <c r="S6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6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64" spans="1:20">
      <c r="A64" t="s">
        <v>207</v>
      </c>
      <c r="B64" t="s">
        <v>115</v>
      </c>
      <c r="C64" t="s">
        <v>45</v>
      </c>
      <c r="D64" t="s">
        <v>109</v>
      </c>
      <c r="E64" t="s">
        <v>24</v>
      </c>
      <c r="F64" t="s">
        <v>25</v>
      </c>
      <c r="G64" s="5">
        <v>10</v>
      </c>
      <c r="H64" s="7">
        <v>0.51900000000000002</v>
      </c>
      <c r="I64" s="5" t="s">
        <v>38</v>
      </c>
      <c r="J64" t="s">
        <v>39</v>
      </c>
      <c r="K64" t="s">
        <v>28</v>
      </c>
      <c r="L64" t="s">
        <v>75</v>
      </c>
      <c r="M64" t="s">
        <v>129</v>
      </c>
      <c r="N64" s="8">
        <v>46266</v>
      </c>
      <c r="O64" s="8">
        <v>46273</v>
      </c>
      <c r="P64" t="s">
        <v>42</v>
      </c>
      <c r="Q64" s="8"/>
      <c r="R64" t="s">
        <v>38</v>
      </c>
      <c r="S6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6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65" spans="1:20">
      <c r="A65" t="s">
        <v>208</v>
      </c>
      <c r="B65" t="s">
        <v>209</v>
      </c>
      <c r="C65" t="s">
        <v>34</v>
      </c>
      <c r="D65" t="s">
        <v>63</v>
      </c>
      <c r="E65" t="s">
        <v>64</v>
      </c>
      <c r="F65" t="s">
        <v>37</v>
      </c>
      <c r="G65" s="5">
        <v>9.8000000000000007</v>
      </c>
      <c r="H65" s="7">
        <v>0.51600000000000001</v>
      </c>
      <c r="I65" s="5" t="s">
        <v>26</v>
      </c>
      <c r="J65" t="s">
        <v>39</v>
      </c>
      <c r="K65" t="s">
        <v>28</v>
      </c>
      <c r="L65" t="s">
        <v>48</v>
      </c>
      <c r="M65" t="s">
        <v>49</v>
      </c>
      <c r="N65" s="8">
        <v>46272</v>
      </c>
      <c r="O65" s="8">
        <v>46279</v>
      </c>
      <c r="P65" t="s">
        <v>42</v>
      </c>
      <c r="Q65" s="8"/>
      <c r="R65" t="s">
        <v>38</v>
      </c>
      <c r="S6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6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66" spans="1:20">
      <c r="A66" t="s">
        <v>210</v>
      </c>
      <c r="B66" t="s">
        <v>211</v>
      </c>
      <c r="C66" t="s">
        <v>59</v>
      </c>
      <c r="D66" t="s">
        <v>23</v>
      </c>
      <c r="E66" t="s">
        <v>47</v>
      </c>
      <c r="F66" t="s">
        <v>37</v>
      </c>
      <c r="G66" s="5">
        <v>10</v>
      </c>
      <c r="H66" s="7">
        <v>0.51200000000000001</v>
      </c>
      <c r="I66" s="5" t="s">
        <v>38</v>
      </c>
      <c r="J66" t="s">
        <v>39</v>
      </c>
      <c r="K66" t="s">
        <v>87</v>
      </c>
      <c r="L66" t="s">
        <v>29</v>
      </c>
      <c r="M66" t="s">
        <v>30</v>
      </c>
      <c r="N66" s="8">
        <v>46249</v>
      </c>
      <c r="O66" s="8">
        <v>46256</v>
      </c>
      <c r="P66" t="s">
        <v>42</v>
      </c>
      <c r="Q66" s="8"/>
      <c r="R66" t="s">
        <v>38</v>
      </c>
      <c r="S6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6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67" spans="1:20">
      <c r="A67" t="s">
        <v>212</v>
      </c>
      <c r="B67" t="s">
        <v>213</v>
      </c>
      <c r="C67" t="s">
        <v>59</v>
      </c>
      <c r="D67" t="s">
        <v>113</v>
      </c>
      <c r="E67" t="s">
        <v>47</v>
      </c>
      <c r="F67" t="s">
        <v>37</v>
      </c>
      <c r="G67" s="5">
        <v>10</v>
      </c>
      <c r="H67" s="7">
        <v>0.50900000000000001</v>
      </c>
      <c r="I67" s="5" t="s">
        <v>26</v>
      </c>
      <c r="J67" t="s">
        <v>39</v>
      </c>
      <c r="K67" t="s">
        <v>60</v>
      </c>
      <c r="L67" t="s">
        <v>54</v>
      </c>
      <c r="M67" t="s">
        <v>55</v>
      </c>
      <c r="N67" s="8">
        <v>46260</v>
      </c>
      <c r="O67" s="8">
        <v>46267</v>
      </c>
      <c r="P67" t="s">
        <v>42</v>
      </c>
      <c r="Q67" s="8"/>
      <c r="R67" t="s">
        <v>38</v>
      </c>
      <c r="S6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6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68" spans="1:20">
      <c r="A68" t="s">
        <v>214</v>
      </c>
      <c r="B68" t="s">
        <v>215</v>
      </c>
      <c r="C68" t="s">
        <v>79</v>
      </c>
      <c r="D68" t="s">
        <v>113</v>
      </c>
      <c r="E68" t="s">
        <v>216</v>
      </c>
      <c r="F68" t="s">
        <v>217</v>
      </c>
      <c r="G68" s="5">
        <v>9.1</v>
      </c>
      <c r="H68" s="7">
        <v>0.503</v>
      </c>
      <c r="I68" s="5" t="s">
        <v>38</v>
      </c>
      <c r="J68" t="s">
        <v>39</v>
      </c>
      <c r="K68" t="s">
        <v>87</v>
      </c>
      <c r="L68" t="s">
        <v>40</v>
      </c>
      <c r="M68" t="s">
        <v>41</v>
      </c>
      <c r="N68" s="8">
        <v>46251</v>
      </c>
      <c r="O68" s="8">
        <v>46254</v>
      </c>
      <c r="P68" t="s">
        <v>42</v>
      </c>
      <c r="Q68" s="8"/>
      <c r="R68" t="s">
        <v>38</v>
      </c>
      <c r="S6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6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69" spans="1:20">
      <c r="A69" t="s">
        <v>218</v>
      </c>
      <c r="B69" t="s">
        <v>219</v>
      </c>
      <c r="C69" t="s">
        <v>58</v>
      </c>
      <c r="D69" t="s">
        <v>109</v>
      </c>
      <c r="E69" t="s">
        <v>24</v>
      </c>
      <c r="F69" t="s">
        <v>25</v>
      </c>
      <c r="G69" s="5">
        <v>10</v>
      </c>
      <c r="H69" s="7">
        <v>0.246</v>
      </c>
      <c r="I69" s="5" t="s">
        <v>38</v>
      </c>
      <c r="J69" t="s">
        <v>27</v>
      </c>
      <c r="K69" t="s">
        <v>28</v>
      </c>
      <c r="L69" t="s">
        <v>80</v>
      </c>
      <c r="M69" t="s">
        <v>96</v>
      </c>
      <c r="N69" s="8">
        <v>46250</v>
      </c>
      <c r="O69" s="8">
        <v>46257</v>
      </c>
      <c r="P69" t="s">
        <v>50</v>
      </c>
      <c r="Q69" s="8"/>
      <c r="R69" t="s">
        <v>26</v>
      </c>
      <c r="S6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6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70" spans="1:20">
      <c r="A70" t="s">
        <v>220</v>
      </c>
      <c r="B70" t="s">
        <v>153</v>
      </c>
      <c r="C70" t="s">
        <v>34</v>
      </c>
      <c r="D70" t="s">
        <v>53</v>
      </c>
      <c r="E70" t="s">
        <v>24</v>
      </c>
      <c r="F70" t="s">
        <v>25</v>
      </c>
      <c r="G70" s="5">
        <v>10</v>
      </c>
      <c r="H70" s="7">
        <v>0.39500000000000002</v>
      </c>
      <c r="I70" s="5" t="s">
        <v>38</v>
      </c>
      <c r="J70" t="s">
        <v>27</v>
      </c>
      <c r="K70" t="s">
        <v>28</v>
      </c>
      <c r="L70" t="s">
        <v>75</v>
      </c>
      <c r="M70" t="s">
        <v>129</v>
      </c>
      <c r="N70" s="8">
        <v>46249</v>
      </c>
      <c r="O70" s="8">
        <v>46256</v>
      </c>
      <c r="P70" t="s">
        <v>50</v>
      </c>
      <c r="Q70" s="8"/>
      <c r="R70" t="s">
        <v>26</v>
      </c>
      <c r="S7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7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71" spans="1:20">
      <c r="A71" t="s">
        <v>221</v>
      </c>
      <c r="B71" t="s">
        <v>222</v>
      </c>
      <c r="C71" t="s">
        <v>22</v>
      </c>
      <c r="D71" t="s">
        <v>63</v>
      </c>
      <c r="E71" t="s">
        <v>47</v>
      </c>
      <c r="F71" t="s">
        <v>37</v>
      </c>
      <c r="G71" s="5">
        <v>10</v>
      </c>
      <c r="H71" s="7">
        <v>0.64</v>
      </c>
      <c r="I71" s="5" t="s">
        <v>26</v>
      </c>
      <c r="J71" t="s">
        <v>39</v>
      </c>
      <c r="K71" t="s">
        <v>87</v>
      </c>
      <c r="L71" t="s">
        <v>99</v>
      </c>
      <c r="M71" t="s">
        <v>100</v>
      </c>
      <c r="N71" s="8">
        <v>46247</v>
      </c>
      <c r="O71" s="8">
        <v>46252</v>
      </c>
      <c r="P71" t="s">
        <v>101</v>
      </c>
      <c r="Q71" s="8">
        <v>46251</v>
      </c>
      <c r="R71" t="s">
        <v>38</v>
      </c>
      <c r="S7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7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72" spans="1:20">
      <c r="A72" t="s">
        <v>223</v>
      </c>
      <c r="B72" t="s">
        <v>224</v>
      </c>
      <c r="C72" t="s">
        <v>58</v>
      </c>
      <c r="D72" t="s">
        <v>23</v>
      </c>
      <c r="E72" t="s">
        <v>70</v>
      </c>
      <c r="F72" t="s">
        <v>71</v>
      </c>
      <c r="G72" s="5">
        <v>9.8000000000000007</v>
      </c>
      <c r="H72" s="7">
        <v>0.502</v>
      </c>
      <c r="I72" s="5" t="s">
        <v>38</v>
      </c>
      <c r="J72" t="s">
        <v>39</v>
      </c>
      <c r="K72" t="s">
        <v>28</v>
      </c>
      <c r="L72" t="s">
        <v>54</v>
      </c>
      <c r="M72" t="s">
        <v>55</v>
      </c>
      <c r="N72" s="8">
        <v>46243</v>
      </c>
      <c r="O72" s="8">
        <v>46250</v>
      </c>
      <c r="P72" t="s">
        <v>42</v>
      </c>
      <c r="Q72" s="8"/>
      <c r="R72" t="s">
        <v>38</v>
      </c>
      <c r="S7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7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73" spans="1:20">
      <c r="A73" t="s">
        <v>225</v>
      </c>
      <c r="B73" t="s">
        <v>226</v>
      </c>
      <c r="C73" t="s">
        <v>45</v>
      </c>
      <c r="D73" t="s">
        <v>59</v>
      </c>
      <c r="E73" t="s">
        <v>47</v>
      </c>
      <c r="F73" t="s">
        <v>37</v>
      </c>
      <c r="G73" s="5">
        <v>10</v>
      </c>
      <c r="H73" s="7">
        <v>0.19</v>
      </c>
      <c r="I73" s="5" t="s">
        <v>26</v>
      </c>
      <c r="J73" t="s">
        <v>39</v>
      </c>
      <c r="K73" t="s">
        <v>28</v>
      </c>
      <c r="L73" t="s">
        <v>29</v>
      </c>
      <c r="M73" t="s">
        <v>65</v>
      </c>
      <c r="N73" s="8">
        <v>46271</v>
      </c>
      <c r="O73" s="8">
        <v>46277</v>
      </c>
      <c r="P73" t="s">
        <v>101</v>
      </c>
      <c r="Q73" s="8">
        <v>46278</v>
      </c>
      <c r="R73" t="s">
        <v>38</v>
      </c>
      <c r="S7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7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74" spans="1:20">
      <c r="A74" t="s">
        <v>227</v>
      </c>
      <c r="B74" t="s">
        <v>228</v>
      </c>
      <c r="C74" t="s">
        <v>34</v>
      </c>
      <c r="D74" t="s">
        <v>59</v>
      </c>
      <c r="E74" t="s">
        <v>201</v>
      </c>
      <c r="F74" t="s">
        <v>202</v>
      </c>
      <c r="G74" s="5">
        <v>10</v>
      </c>
      <c r="H74" s="7">
        <v>0.49199999999999999</v>
      </c>
      <c r="I74" s="5" t="s">
        <v>38</v>
      </c>
      <c r="J74" t="s">
        <v>27</v>
      </c>
      <c r="K74" t="s">
        <v>28</v>
      </c>
      <c r="L74" t="s">
        <v>80</v>
      </c>
      <c r="M74" t="s">
        <v>81</v>
      </c>
      <c r="N74" s="8">
        <v>46253</v>
      </c>
      <c r="O74" s="8">
        <v>46260</v>
      </c>
      <c r="P74" t="s">
        <v>42</v>
      </c>
      <c r="Q74" s="8"/>
      <c r="R74" t="s">
        <v>26</v>
      </c>
      <c r="S7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7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75" spans="1:20">
      <c r="A75" t="s">
        <v>229</v>
      </c>
      <c r="B75" t="s">
        <v>230</v>
      </c>
      <c r="C75" t="s">
        <v>45</v>
      </c>
      <c r="D75" t="s">
        <v>35</v>
      </c>
      <c r="E75" t="s">
        <v>64</v>
      </c>
      <c r="F75" t="s">
        <v>37</v>
      </c>
      <c r="G75" s="5">
        <v>9.8000000000000007</v>
      </c>
      <c r="H75" s="7">
        <v>0.29599999999999999</v>
      </c>
      <c r="I75" s="5" t="s">
        <v>26</v>
      </c>
      <c r="J75" t="s">
        <v>39</v>
      </c>
      <c r="K75" t="s">
        <v>28</v>
      </c>
      <c r="L75" t="s">
        <v>48</v>
      </c>
      <c r="M75" t="s">
        <v>132</v>
      </c>
      <c r="N75" s="8">
        <v>46241</v>
      </c>
      <c r="O75" s="8">
        <v>46248</v>
      </c>
      <c r="P75" t="s">
        <v>50</v>
      </c>
      <c r="Q75" s="8"/>
      <c r="R75" t="s">
        <v>38</v>
      </c>
      <c r="S7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7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76" spans="1:20">
      <c r="A76" t="s">
        <v>231</v>
      </c>
      <c r="B76" t="s">
        <v>232</v>
      </c>
      <c r="C76" t="s">
        <v>79</v>
      </c>
      <c r="D76" t="s">
        <v>90</v>
      </c>
      <c r="E76" t="s">
        <v>24</v>
      </c>
      <c r="F76" t="s">
        <v>25</v>
      </c>
      <c r="G76" s="5">
        <v>10</v>
      </c>
      <c r="H76" s="7">
        <v>0.11700000000000001</v>
      </c>
      <c r="I76" s="5" t="s">
        <v>26</v>
      </c>
      <c r="J76" t="s">
        <v>39</v>
      </c>
      <c r="K76" t="s">
        <v>28</v>
      </c>
      <c r="L76" t="s">
        <v>48</v>
      </c>
      <c r="M76" t="s">
        <v>49</v>
      </c>
      <c r="N76" s="8">
        <v>46270</v>
      </c>
      <c r="O76" s="8">
        <v>46277</v>
      </c>
      <c r="P76" t="s">
        <v>31</v>
      </c>
      <c r="Q76" s="8">
        <v>46279</v>
      </c>
      <c r="R76" t="s">
        <v>38</v>
      </c>
      <c r="S7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7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77" spans="1:20">
      <c r="A77" t="s">
        <v>233</v>
      </c>
      <c r="B77" t="s">
        <v>234</v>
      </c>
      <c r="C77" t="s">
        <v>58</v>
      </c>
      <c r="D77" t="s">
        <v>23</v>
      </c>
      <c r="E77" t="s">
        <v>70</v>
      </c>
      <c r="F77" t="s">
        <v>71</v>
      </c>
      <c r="G77" s="5">
        <v>10</v>
      </c>
      <c r="H77" s="7">
        <v>0.48899999999999999</v>
      </c>
      <c r="I77" s="5" t="s">
        <v>38</v>
      </c>
      <c r="J77" t="s">
        <v>27</v>
      </c>
      <c r="K77" t="s">
        <v>87</v>
      </c>
      <c r="L77" t="s">
        <v>48</v>
      </c>
      <c r="M77" t="s">
        <v>132</v>
      </c>
      <c r="N77" s="8">
        <v>46252</v>
      </c>
      <c r="O77" s="8">
        <v>46259</v>
      </c>
      <c r="P77" t="s">
        <v>42</v>
      </c>
      <c r="Q77" s="8"/>
      <c r="R77" t="s">
        <v>26</v>
      </c>
      <c r="S7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7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78" spans="1:20">
      <c r="A78" t="s">
        <v>235</v>
      </c>
      <c r="B78" t="s">
        <v>236</v>
      </c>
      <c r="C78" t="s">
        <v>59</v>
      </c>
      <c r="D78" t="s">
        <v>113</v>
      </c>
      <c r="E78" t="s">
        <v>201</v>
      </c>
      <c r="F78" t="s">
        <v>202</v>
      </c>
      <c r="G78" s="5">
        <v>9.8000000000000007</v>
      </c>
      <c r="H78" s="7">
        <v>0.48699999999999999</v>
      </c>
      <c r="I78" s="5" t="s">
        <v>38</v>
      </c>
      <c r="J78" t="s">
        <v>39</v>
      </c>
      <c r="K78" t="s">
        <v>28</v>
      </c>
      <c r="L78" t="s">
        <v>48</v>
      </c>
      <c r="M78" t="s">
        <v>132</v>
      </c>
      <c r="N78" s="8">
        <v>46258</v>
      </c>
      <c r="O78" s="8">
        <v>46265</v>
      </c>
      <c r="P78" t="s">
        <v>42</v>
      </c>
      <c r="Q78" s="8"/>
      <c r="R78" t="s">
        <v>38</v>
      </c>
      <c r="S7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7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79" spans="1:20">
      <c r="A79" t="s">
        <v>237</v>
      </c>
      <c r="B79" t="s">
        <v>238</v>
      </c>
      <c r="C79" t="s">
        <v>79</v>
      </c>
      <c r="D79" t="s">
        <v>122</v>
      </c>
      <c r="E79" t="s">
        <v>70</v>
      </c>
      <c r="F79" t="s">
        <v>71</v>
      </c>
      <c r="G79" s="5">
        <v>9.8000000000000007</v>
      </c>
      <c r="H79" s="7">
        <v>0.48299999999999998</v>
      </c>
      <c r="I79" s="5" t="s">
        <v>38</v>
      </c>
      <c r="J79" t="s">
        <v>39</v>
      </c>
      <c r="K79" t="s">
        <v>28</v>
      </c>
      <c r="L79" t="s">
        <v>29</v>
      </c>
      <c r="M79" t="s">
        <v>30</v>
      </c>
      <c r="N79" s="8">
        <v>46260</v>
      </c>
      <c r="O79" s="8">
        <v>46267</v>
      </c>
      <c r="P79" t="s">
        <v>42</v>
      </c>
      <c r="Q79" s="8"/>
      <c r="R79" t="s">
        <v>38</v>
      </c>
      <c r="S7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7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80" spans="1:20">
      <c r="A80" t="s">
        <v>239</v>
      </c>
      <c r="B80" t="s">
        <v>240</v>
      </c>
      <c r="C80" t="s">
        <v>45</v>
      </c>
      <c r="D80" t="s">
        <v>90</v>
      </c>
      <c r="E80" t="s">
        <v>24</v>
      </c>
      <c r="F80" t="s">
        <v>25</v>
      </c>
      <c r="G80" s="5">
        <v>10</v>
      </c>
      <c r="H80" s="7">
        <v>0.17899999999999999</v>
      </c>
      <c r="I80" s="5" t="s">
        <v>26</v>
      </c>
      <c r="J80" t="s">
        <v>39</v>
      </c>
      <c r="K80" t="s">
        <v>28</v>
      </c>
      <c r="L80" t="s">
        <v>54</v>
      </c>
      <c r="M80" t="s">
        <v>55</v>
      </c>
      <c r="N80" s="8">
        <v>46261</v>
      </c>
      <c r="O80" s="8">
        <v>46268</v>
      </c>
      <c r="P80" t="s">
        <v>50</v>
      </c>
      <c r="Q80" s="8"/>
      <c r="R80" t="s">
        <v>38</v>
      </c>
      <c r="S8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8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81" spans="1:20">
      <c r="A81" t="s">
        <v>241</v>
      </c>
      <c r="B81" t="s">
        <v>242</v>
      </c>
      <c r="C81" t="s">
        <v>22</v>
      </c>
      <c r="D81" t="s">
        <v>46</v>
      </c>
      <c r="E81" t="s">
        <v>142</v>
      </c>
      <c r="F81" t="s">
        <v>71</v>
      </c>
      <c r="G81" s="5">
        <v>8.8000000000000007</v>
      </c>
      <c r="H81" s="7">
        <v>0.47699999999999998</v>
      </c>
      <c r="I81" s="5" t="s">
        <v>38</v>
      </c>
      <c r="J81" t="s">
        <v>110</v>
      </c>
      <c r="K81" t="s">
        <v>28</v>
      </c>
      <c r="L81" t="s">
        <v>80</v>
      </c>
      <c r="M81" t="s">
        <v>81</v>
      </c>
      <c r="N81" s="8">
        <v>46256</v>
      </c>
      <c r="O81" s="8">
        <v>46270</v>
      </c>
      <c r="P81" t="s">
        <v>42</v>
      </c>
      <c r="Q81" s="8"/>
      <c r="R81" t="s">
        <v>38</v>
      </c>
      <c r="S8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8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82" spans="1:20">
      <c r="A82" t="s">
        <v>243</v>
      </c>
      <c r="B82" t="s">
        <v>244</v>
      </c>
      <c r="C82" t="s">
        <v>79</v>
      </c>
      <c r="D82" t="s">
        <v>23</v>
      </c>
      <c r="E82" t="s">
        <v>64</v>
      </c>
      <c r="F82" t="s">
        <v>37</v>
      </c>
      <c r="G82" s="5">
        <v>9.8000000000000007</v>
      </c>
      <c r="H82" s="7">
        <v>0.47399999999999998</v>
      </c>
      <c r="I82" s="5" t="s">
        <v>26</v>
      </c>
      <c r="J82" t="s">
        <v>39</v>
      </c>
      <c r="K82" t="s">
        <v>28</v>
      </c>
      <c r="L82" t="s">
        <v>75</v>
      </c>
      <c r="M82" t="s">
        <v>129</v>
      </c>
      <c r="N82" s="8">
        <v>46246</v>
      </c>
      <c r="O82" s="8">
        <v>46253</v>
      </c>
      <c r="P82" t="s">
        <v>42</v>
      </c>
      <c r="Q82" s="8"/>
      <c r="R82" t="s">
        <v>38</v>
      </c>
      <c r="S8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8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83" spans="1:20">
      <c r="A83" t="s">
        <v>245</v>
      </c>
      <c r="B83" t="s">
        <v>161</v>
      </c>
      <c r="C83" t="s">
        <v>34</v>
      </c>
      <c r="D83" t="s">
        <v>104</v>
      </c>
      <c r="E83" t="s">
        <v>70</v>
      </c>
      <c r="F83" t="s">
        <v>71</v>
      </c>
      <c r="G83" s="5">
        <v>9.8000000000000007</v>
      </c>
      <c r="H83" s="7">
        <v>0.47099999999999997</v>
      </c>
      <c r="I83" s="5" t="s">
        <v>38</v>
      </c>
      <c r="J83" t="s">
        <v>39</v>
      </c>
      <c r="K83" t="s">
        <v>28</v>
      </c>
      <c r="L83" t="s">
        <v>75</v>
      </c>
      <c r="M83" t="s">
        <v>76</v>
      </c>
      <c r="N83" s="8">
        <v>46258</v>
      </c>
      <c r="O83" s="8">
        <v>46265</v>
      </c>
      <c r="P83" t="s">
        <v>42</v>
      </c>
      <c r="Q83" s="8"/>
      <c r="R83" t="s">
        <v>38</v>
      </c>
      <c r="S8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8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84" spans="1:20">
      <c r="A84" t="s">
        <v>246</v>
      </c>
      <c r="B84" t="s">
        <v>247</v>
      </c>
      <c r="C84" t="s">
        <v>22</v>
      </c>
      <c r="D84" t="s">
        <v>122</v>
      </c>
      <c r="E84" t="s">
        <v>142</v>
      </c>
      <c r="F84" t="s">
        <v>71</v>
      </c>
      <c r="G84" s="5">
        <v>8.8000000000000007</v>
      </c>
      <c r="H84" s="7">
        <v>0.46800000000000003</v>
      </c>
      <c r="I84" s="5" t="s">
        <v>38</v>
      </c>
      <c r="J84" t="s">
        <v>39</v>
      </c>
      <c r="K84" t="s">
        <v>60</v>
      </c>
      <c r="L84" t="s">
        <v>80</v>
      </c>
      <c r="M84" t="s">
        <v>81</v>
      </c>
      <c r="N84" s="8">
        <v>46262</v>
      </c>
      <c r="O84" s="8">
        <v>46276</v>
      </c>
      <c r="P84" t="s">
        <v>42</v>
      </c>
      <c r="Q84" s="8"/>
      <c r="R84" t="s">
        <v>38</v>
      </c>
      <c r="S8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8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85" spans="1:20">
      <c r="A85" t="s">
        <v>248</v>
      </c>
      <c r="B85" t="s">
        <v>249</v>
      </c>
      <c r="C85" t="s">
        <v>34</v>
      </c>
      <c r="D85" t="s">
        <v>104</v>
      </c>
      <c r="E85" t="s">
        <v>47</v>
      </c>
      <c r="F85" t="s">
        <v>37</v>
      </c>
      <c r="G85" s="5">
        <v>10</v>
      </c>
      <c r="H85" s="7">
        <v>0.46</v>
      </c>
      <c r="I85" s="5" t="s">
        <v>26</v>
      </c>
      <c r="J85" t="s">
        <v>39</v>
      </c>
      <c r="K85" t="s">
        <v>60</v>
      </c>
      <c r="L85" t="s">
        <v>40</v>
      </c>
      <c r="M85" t="s">
        <v>72</v>
      </c>
      <c r="N85" s="8">
        <v>46262</v>
      </c>
      <c r="O85" s="8">
        <v>46269</v>
      </c>
      <c r="P85" t="s">
        <v>42</v>
      </c>
      <c r="Q85" s="8"/>
      <c r="R85" t="s">
        <v>38</v>
      </c>
      <c r="S8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8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86" spans="1:20">
      <c r="A86" t="s">
        <v>250</v>
      </c>
      <c r="B86" t="s">
        <v>106</v>
      </c>
      <c r="C86" t="s">
        <v>58</v>
      </c>
      <c r="D86" t="s">
        <v>59</v>
      </c>
      <c r="E86" t="s">
        <v>24</v>
      </c>
      <c r="F86" t="s">
        <v>25</v>
      </c>
      <c r="G86" s="5">
        <v>10</v>
      </c>
      <c r="H86" s="7">
        <v>0.63100000000000001</v>
      </c>
      <c r="I86" s="5" t="s">
        <v>26</v>
      </c>
      <c r="J86" t="s">
        <v>39</v>
      </c>
      <c r="K86" t="s">
        <v>87</v>
      </c>
      <c r="L86" t="s">
        <v>48</v>
      </c>
      <c r="M86" t="s">
        <v>49</v>
      </c>
      <c r="N86" s="8">
        <v>46257</v>
      </c>
      <c r="O86" s="8">
        <v>46264</v>
      </c>
      <c r="P86" t="s">
        <v>91</v>
      </c>
      <c r="Q86" s="8"/>
      <c r="R86" t="s">
        <v>38</v>
      </c>
      <c r="S8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8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87" spans="1:20">
      <c r="A87" t="s">
        <v>251</v>
      </c>
      <c r="B87" t="s">
        <v>252</v>
      </c>
      <c r="C87" t="s">
        <v>34</v>
      </c>
      <c r="D87" t="s">
        <v>109</v>
      </c>
      <c r="E87" t="s">
        <v>119</v>
      </c>
      <c r="F87" t="s">
        <v>37</v>
      </c>
      <c r="G87" s="5">
        <v>7.8</v>
      </c>
      <c r="H87" s="7">
        <v>0.45900000000000002</v>
      </c>
      <c r="I87" s="5" t="s">
        <v>38</v>
      </c>
      <c r="J87" t="s">
        <v>39</v>
      </c>
      <c r="K87" t="s">
        <v>87</v>
      </c>
      <c r="L87" t="s">
        <v>54</v>
      </c>
      <c r="M87" t="s">
        <v>55</v>
      </c>
      <c r="N87" s="8">
        <v>46243</v>
      </c>
      <c r="O87" s="8">
        <v>46257</v>
      </c>
      <c r="P87" t="s">
        <v>42</v>
      </c>
      <c r="Q87" s="8"/>
      <c r="R87" t="s">
        <v>38</v>
      </c>
      <c r="S8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8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88" spans="1:20">
      <c r="A88" t="s">
        <v>253</v>
      </c>
      <c r="B88" t="s">
        <v>177</v>
      </c>
      <c r="C88" t="s">
        <v>34</v>
      </c>
      <c r="D88" t="s">
        <v>104</v>
      </c>
      <c r="E88" t="s">
        <v>70</v>
      </c>
      <c r="F88" t="s">
        <v>71</v>
      </c>
      <c r="G88" s="5">
        <v>9.8000000000000007</v>
      </c>
      <c r="H88" s="7">
        <v>0.23</v>
      </c>
      <c r="I88" s="5" t="s">
        <v>26</v>
      </c>
      <c r="J88" t="s">
        <v>39</v>
      </c>
      <c r="K88" t="s">
        <v>28</v>
      </c>
      <c r="L88" t="s">
        <v>80</v>
      </c>
      <c r="M88" t="s">
        <v>81</v>
      </c>
      <c r="N88" s="8">
        <v>46254</v>
      </c>
      <c r="O88" s="8">
        <v>46259</v>
      </c>
      <c r="P88" t="s">
        <v>50</v>
      </c>
      <c r="Q88" s="8"/>
      <c r="R88" t="s">
        <v>38</v>
      </c>
      <c r="S8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8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89" spans="1:20">
      <c r="A89" t="s">
        <v>254</v>
      </c>
      <c r="B89" t="s">
        <v>255</v>
      </c>
      <c r="C89" t="s">
        <v>59</v>
      </c>
      <c r="D89" t="s">
        <v>104</v>
      </c>
      <c r="E89" t="s">
        <v>119</v>
      </c>
      <c r="F89" t="s">
        <v>37</v>
      </c>
      <c r="G89" s="5">
        <v>7.8</v>
      </c>
      <c r="H89" s="7">
        <v>0.45600000000000002</v>
      </c>
      <c r="I89" s="5" t="s">
        <v>38</v>
      </c>
      <c r="J89" t="s">
        <v>39</v>
      </c>
      <c r="K89" t="s">
        <v>60</v>
      </c>
      <c r="L89" t="s">
        <v>99</v>
      </c>
      <c r="M89" t="s">
        <v>100</v>
      </c>
      <c r="N89" s="8">
        <v>46262</v>
      </c>
      <c r="O89" s="8">
        <v>46276</v>
      </c>
      <c r="P89" t="s">
        <v>42</v>
      </c>
      <c r="Q89" s="8"/>
      <c r="R89" t="s">
        <v>38</v>
      </c>
      <c r="S8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8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90" spans="1:20">
      <c r="A90" t="s">
        <v>256</v>
      </c>
      <c r="B90" t="s">
        <v>257</v>
      </c>
      <c r="C90" t="s">
        <v>59</v>
      </c>
      <c r="D90" t="s">
        <v>35</v>
      </c>
      <c r="E90" t="s">
        <v>47</v>
      </c>
      <c r="F90" t="s">
        <v>37</v>
      </c>
      <c r="G90" s="5">
        <v>10</v>
      </c>
      <c r="H90" s="7">
        <v>0.44700000000000001</v>
      </c>
      <c r="I90" s="5" t="s">
        <v>26</v>
      </c>
      <c r="J90" t="s">
        <v>110</v>
      </c>
      <c r="K90" t="s">
        <v>60</v>
      </c>
      <c r="L90" t="s">
        <v>75</v>
      </c>
      <c r="M90" t="s">
        <v>129</v>
      </c>
      <c r="N90" s="8">
        <v>46249</v>
      </c>
      <c r="O90" s="8">
        <v>46256</v>
      </c>
      <c r="P90" t="s">
        <v>50</v>
      </c>
      <c r="Q90" s="8"/>
      <c r="R90" t="s">
        <v>38</v>
      </c>
      <c r="S9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1" spans="1:20">
      <c r="A91" t="s">
        <v>258</v>
      </c>
      <c r="B91" t="s">
        <v>259</v>
      </c>
      <c r="C91" t="s">
        <v>79</v>
      </c>
      <c r="D91" t="s">
        <v>90</v>
      </c>
      <c r="E91" t="s">
        <v>64</v>
      </c>
      <c r="F91" t="s">
        <v>37</v>
      </c>
      <c r="G91" s="5">
        <v>9.8000000000000007</v>
      </c>
      <c r="H91" s="7">
        <v>0.20200000000000001</v>
      </c>
      <c r="I91" s="5" t="s">
        <v>26</v>
      </c>
      <c r="J91" t="s">
        <v>110</v>
      </c>
      <c r="K91" t="s">
        <v>28</v>
      </c>
      <c r="L91" t="s">
        <v>99</v>
      </c>
      <c r="M91" t="s">
        <v>100</v>
      </c>
      <c r="N91" s="8">
        <v>46272</v>
      </c>
      <c r="O91" s="8">
        <v>46279</v>
      </c>
      <c r="P91" t="s">
        <v>101</v>
      </c>
      <c r="Q91" s="8">
        <v>46284</v>
      </c>
      <c r="R91" t="s">
        <v>38</v>
      </c>
      <c r="S9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2" spans="1:20">
      <c r="A92" t="s">
        <v>260</v>
      </c>
      <c r="B92" t="s">
        <v>261</v>
      </c>
      <c r="C92" t="s">
        <v>45</v>
      </c>
      <c r="D92" t="s">
        <v>59</v>
      </c>
      <c r="E92" t="s">
        <v>70</v>
      </c>
      <c r="F92" t="s">
        <v>71</v>
      </c>
      <c r="G92" s="5">
        <v>9.8000000000000007</v>
      </c>
      <c r="H92" s="7">
        <v>0.53200000000000003</v>
      </c>
      <c r="I92" s="5" t="s">
        <v>26</v>
      </c>
      <c r="J92" t="s">
        <v>39</v>
      </c>
      <c r="K92" t="s">
        <v>60</v>
      </c>
      <c r="L92" t="s">
        <v>80</v>
      </c>
      <c r="M92" t="s">
        <v>96</v>
      </c>
      <c r="N92" s="8">
        <v>46247</v>
      </c>
      <c r="O92" s="8">
        <v>46254</v>
      </c>
      <c r="P92" t="s">
        <v>31</v>
      </c>
      <c r="Q92" s="8">
        <v>46280</v>
      </c>
      <c r="R92" t="s">
        <v>38</v>
      </c>
      <c r="S9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3" spans="1:20">
      <c r="A93" t="s">
        <v>262</v>
      </c>
      <c r="B93" t="s">
        <v>263</v>
      </c>
      <c r="C93" t="s">
        <v>79</v>
      </c>
      <c r="D93" t="s">
        <v>53</v>
      </c>
      <c r="E93" t="s">
        <v>24</v>
      </c>
      <c r="F93" t="s">
        <v>25</v>
      </c>
      <c r="G93" s="5">
        <v>10</v>
      </c>
      <c r="H93" s="7">
        <v>0.20200000000000001</v>
      </c>
      <c r="I93" s="5" t="s">
        <v>38</v>
      </c>
      <c r="J93" t="s">
        <v>27</v>
      </c>
      <c r="K93" t="s">
        <v>28</v>
      </c>
      <c r="L93" t="s">
        <v>75</v>
      </c>
      <c r="M93" t="s">
        <v>76</v>
      </c>
      <c r="N93" s="8">
        <v>46271</v>
      </c>
      <c r="O93" s="8">
        <v>46278</v>
      </c>
      <c r="P93" t="s">
        <v>50</v>
      </c>
      <c r="Q93" s="8"/>
      <c r="R93" t="s">
        <v>26</v>
      </c>
      <c r="S9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4" spans="1:20">
      <c r="A94" t="s">
        <v>264</v>
      </c>
      <c r="B94" t="s">
        <v>265</v>
      </c>
      <c r="C94" t="s">
        <v>58</v>
      </c>
      <c r="D94" t="s">
        <v>113</v>
      </c>
      <c r="E94" t="s">
        <v>64</v>
      </c>
      <c r="F94" t="s">
        <v>37</v>
      </c>
      <c r="G94" s="5">
        <v>10</v>
      </c>
      <c r="H94" s="7">
        <v>0.127</v>
      </c>
      <c r="I94" s="5" t="s">
        <v>26</v>
      </c>
      <c r="J94" t="s">
        <v>27</v>
      </c>
      <c r="K94" t="s">
        <v>87</v>
      </c>
      <c r="L94" t="s">
        <v>54</v>
      </c>
      <c r="M94" t="s">
        <v>55</v>
      </c>
      <c r="N94" s="8">
        <v>46269</v>
      </c>
      <c r="O94" s="8">
        <v>46276</v>
      </c>
      <c r="P94" t="s">
        <v>101</v>
      </c>
      <c r="Q94" s="8">
        <v>46294</v>
      </c>
      <c r="R94" t="s">
        <v>26</v>
      </c>
      <c r="S9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5" spans="1:20">
      <c r="A95" t="s">
        <v>266</v>
      </c>
      <c r="B95" t="s">
        <v>267</v>
      </c>
      <c r="C95" t="s">
        <v>45</v>
      </c>
      <c r="D95" t="s">
        <v>113</v>
      </c>
      <c r="E95" t="s">
        <v>70</v>
      </c>
      <c r="F95" t="s">
        <v>71</v>
      </c>
      <c r="G95" s="5">
        <v>9.8000000000000007</v>
      </c>
      <c r="H95" s="7">
        <v>0.439</v>
      </c>
      <c r="I95" s="5" t="s">
        <v>26</v>
      </c>
      <c r="J95" t="s">
        <v>39</v>
      </c>
      <c r="K95" t="s">
        <v>28</v>
      </c>
      <c r="L95" t="s">
        <v>54</v>
      </c>
      <c r="M95" t="s">
        <v>55</v>
      </c>
      <c r="N95" s="8">
        <v>46263</v>
      </c>
      <c r="O95" s="8">
        <v>46266</v>
      </c>
      <c r="P95" t="s">
        <v>31</v>
      </c>
      <c r="Q95" s="8">
        <v>46296</v>
      </c>
      <c r="R95" t="s">
        <v>38</v>
      </c>
      <c r="S9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6" spans="1:20">
      <c r="A96" t="s">
        <v>268</v>
      </c>
      <c r="B96" t="s">
        <v>269</v>
      </c>
      <c r="C96" t="s">
        <v>45</v>
      </c>
      <c r="D96" t="s">
        <v>113</v>
      </c>
      <c r="E96" t="s">
        <v>125</v>
      </c>
      <c r="F96" t="s">
        <v>126</v>
      </c>
      <c r="G96" s="5">
        <v>8.6</v>
      </c>
      <c r="H96" s="7">
        <v>0.45300000000000001</v>
      </c>
      <c r="I96" s="5" t="s">
        <v>38</v>
      </c>
      <c r="J96" t="s">
        <v>110</v>
      </c>
      <c r="K96" t="s">
        <v>28</v>
      </c>
      <c r="L96" t="s">
        <v>54</v>
      </c>
      <c r="M96" t="s">
        <v>55</v>
      </c>
      <c r="N96" s="8">
        <v>46269</v>
      </c>
      <c r="O96" s="8">
        <v>46283</v>
      </c>
      <c r="P96" t="s">
        <v>42</v>
      </c>
      <c r="Q96" s="8"/>
      <c r="R96" t="s">
        <v>38</v>
      </c>
      <c r="S9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9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97" spans="1:20">
      <c r="A97" t="s">
        <v>270</v>
      </c>
      <c r="B97" t="s">
        <v>271</v>
      </c>
      <c r="C97" t="s">
        <v>79</v>
      </c>
      <c r="D97" t="s">
        <v>35</v>
      </c>
      <c r="E97" t="s">
        <v>47</v>
      </c>
      <c r="F97" t="s">
        <v>37</v>
      </c>
      <c r="G97" s="5">
        <v>10</v>
      </c>
      <c r="H97" s="7">
        <v>0.155</v>
      </c>
      <c r="I97" s="5" t="s">
        <v>26</v>
      </c>
      <c r="J97" t="s">
        <v>39</v>
      </c>
      <c r="K97" t="s">
        <v>28</v>
      </c>
      <c r="L97" t="s">
        <v>29</v>
      </c>
      <c r="M97" t="s">
        <v>30</v>
      </c>
      <c r="N97" s="8">
        <v>46256</v>
      </c>
      <c r="O97" s="8">
        <v>46263</v>
      </c>
      <c r="P97" t="s">
        <v>31</v>
      </c>
      <c r="Q97" s="8">
        <v>46276</v>
      </c>
      <c r="R97" t="s">
        <v>38</v>
      </c>
      <c r="S9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8" spans="1:20">
      <c r="A98" t="s">
        <v>272</v>
      </c>
      <c r="B98" t="s">
        <v>273</v>
      </c>
      <c r="C98" t="s">
        <v>45</v>
      </c>
      <c r="D98" t="s">
        <v>63</v>
      </c>
      <c r="E98" t="s">
        <v>24</v>
      </c>
      <c r="F98" t="s">
        <v>25</v>
      </c>
      <c r="G98" s="5">
        <v>10</v>
      </c>
      <c r="H98" s="7">
        <v>0.187</v>
      </c>
      <c r="I98" s="5" t="s">
        <v>26</v>
      </c>
      <c r="J98" t="s">
        <v>110</v>
      </c>
      <c r="K98" t="s">
        <v>28</v>
      </c>
      <c r="L98" t="s">
        <v>40</v>
      </c>
      <c r="M98" t="s">
        <v>72</v>
      </c>
      <c r="N98" s="8">
        <v>46270</v>
      </c>
      <c r="O98" s="8">
        <v>46277</v>
      </c>
      <c r="P98" t="s">
        <v>50</v>
      </c>
      <c r="Q98" s="8"/>
      <c r="R98" t="s">
        <v>38</v>
      </c>
      <c r="S9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99" spans="1:20">
      <c r="A99" t="s">
        <v>274</v>
      </c>
      <c r="B99" t="s">
        <v>275</v>
      </c>
      <c r="C99" t="s">
        <v>79</v>
      </c>
      <c r="D99" t="s">
        <v>59</v>
      </c>
      <c r="E99" t="s">
        <v>64</v>
      </c>
      <c r="F99" t="s">
        <v>37</v>
      </c>
      <c r="G99" s="5">
        <v>9.8000000000000007</v>
      </c>
      <c r="H99" s="7">
        <v>1.2999999999999999E-2</v>
      </c>
      <c r="I99" s="5" t="s">
        <v>26</v>
      </c>
      <c r="J99" t="s">
        <v>27</v>
      </c>
      <c r="K99" t="s">
        <v>28</v>
      </c>
      <c r="L99" t="s">
        <v>54</v>
      </c>
      <c r="M99" t="s">
        <v>55</v>
      </c>
      <c r="N99" s="8">
        <v>46240</v>
      </c>
      <c r="O99" s="8">
        <v>46247</v>
      </c>
      <c r="P99" t="s">
        <v>31</v>
      </c>
      <c r="Q99" s="8">
        <v>46263</v>
      </c>
      <c r="R99" t="s">
        <v>26</v>
      </c>
      <c r="S9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9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00" spans="1:20">
      <c r="A100" t="s">
        <v>276</v>
      </c>
      <c r="B100" t="s">
        <v>277</v>
      </c>
      <c r="C100" t="s">
        <v>59</v>
      </c>
      <c r="D100" t="s">
        <v>59</v>
      </c>
      <c r="E100" t="s">
        <v>70</v>
      </c>
      <c r="F100" t="s">
        <v>71</v>
      </c>
      <c r="G100" s="5">
        <v>9.8000000000000007</v>
      </c>
      <c r="H100" s="7">
        <v>0.35199999999999998</v>
      </c>
      <c r="I100" s="5" t="s">
        <v>26</v>
      </c>
      <c r="J100" t="s">
        <v>39</v>
      </c>
      <c r="K100" t="s">
        <v>28</v>
      </c>
      <c r="L100" t="s">
        <v>99</v>
      </c>
      <c r="M100" t="s">
        <v>100</v>
      </c>
      <c r="N100" s="8">
        <v>46267</v>
      </c>
      <c r="O100" s="8">
        <v>46274</v>
      </c>
      <c r="P100" t="s">
        <v>50</v>
      </c>
      <c r="Q100" s="8"/>
      <c r="R100" t="s">
        <v>38</v>
      </c>
      <c r="S10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0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01" spans="1:20">
      <c r="A101" t="s">
        <v>278</v>
      </c>
      <c r="B101" t="s">
        <v>279</v>
      </c>
      <c r="C101" t="s">
        <v>59</v>
      </c>
      <c r="D101" t="s">
        <v>104</v>
      </c>
      <c r="E101" t="s">
        <v>24</v>
      </c>
      <c r="F101" t="s">
        <v>25</v>
      </c>
      <c r="G101" s="5">
        <v>10</v>
      </c>
      <c r="H101" s="7">
        <v>0.39600000000000002</v>
      </c>
      <c r="I101" s="5" t="s">
        <v>26</v>
      </c>
      <c r="J101" t="s">
        <v>39</v>
      </c>
      <c r="K101" t="s">
        <v>60</v>
      </c>
      <c r="L101" t="s">
        <v>48</v>
      </c>
      <c r="M101" t="s">
        <v>132</v>
      </c>
      <c r="N101" s="8">
        <v>46238</v>
      </c>
      <c r="O101" s="8">
        <v>46243</v>
      </c>
      <c r="P101" t="s">
        <v>101</v>
      </c>
      <c r="Q101" s="8">
        <v>46258</v>
      </c>
      <c r="R101" t="s">
        <v>38</v>
      </c>
      <c r="S10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0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02" spans="1:20">
      <c r="A102" t="s">
        <v>280</v>
      </c>
      <c r="B102" t="s">
        <v>281</v>
      </c>
      <c r="C102" t="s">
        <v>59</v>
      </c>
      <c r="D102" t="s">
        <v>46</v>
      </c>
      <c r="E102" t="s">
        <v>64</v>
      </c>
      <c r="F102" t="s">
        <v>37</v>
      </c>
      <c r="G102" s="5">
        <v>9.8000000000000007</v>
      </c>
      <c r="H102" s="7">
        <v>0.371</v>
      </c>
      <c r="I102" s="5" t="s">
        <v>26</v>
      </c>
      <c r="J102" t="s">
        <v>110</v>
      </c>
      <c r="K102" t="s">
        <v>28</v>
      </c>
      <c r="L102" t="s">
        <v>48</v>
      </c>
      <c r="M102" t="s">
        <v>49</v>
      </c>
      <c r="N102" s="8">
        <v>46236</v>
      </c>
      <c r="O102" s="8">
        <v>46243</v>
      </c>
      <c r="P102" t="s">
        <v>101</v>
      </c>
      <c r="Q102" s="8">
        <v>46252</v>
      </c>
      <c r="R102" t="s">
        <v>38</v>
      </c>
      <c r="S10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0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03" spans="1:20">
      <c r="A103" t="s">
        <v>282</v>
      </c>
      <c r="B103" t="s">
        <v>175</v>
      </c>
      <c r="C103" t="s">
        <v>79</v>
      </c>
      <c r="D103" t="s">
        <v>90</v>
      </c>
      <c r="E103" t="s">
        <v>216</v>
      </c>
      <c r="F103" t="s">
        <v>217</v>
      </c>
      <c r="G103" s="5">
        <v>9.1</v>
      </c>
      <c r="H103" s="7">
        <v>0.45100000000000001</v>
      </c>
      <c r="I103" s="5" t="s">
        <v>38</v>
      </c>
      <c r="J103" t="s">
        <v>39</v>
      </c>
      <c r="K103" t="s">
        <v>28</v>
      </c>
      <c r="L103" t="s">
        <v>29</v>
      </c>
      <c r="M103" t="s">
        <v>30</v>
      </c>
      <c r="N103" s="8">
        <v>46268</v>
      </c>
      <c r="O103" s="8">
        <v>46275</v>
      </c>
      <c r="P103" t="s">
        <v>42</v>
      </c>
      <c r="Q103" s="8"/>
      <c r="R103" t="s">
        <v>38</v>
      </c>
      <c r="S10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0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04" spans="1:20">
      <c r="A104" t="s">
        <v>283</v>
      </c>
      <c r="B104" t="s">
        <v>284</v>
      </c>
      <c r="C104" t="s">
        <v>34</v>
      </c>
      <c r="D104" t="s">
        <v>90</v>
      </c>
      <c r="E104" t="s">
        <v>64</v>
      </c>
      <c r="F104" t="s">
        <v>37</v>
      </c>
      <c r="G104" s="5">
        <v>9.8000000000000007</v>
      </c>
      <c r="H104" s="7">
        <v>0.443</v>
      </c>
      <c r="I104" s="5" t="s">
        <v>38</v>
      </c>
      <c r="J104" t="s">
        <v>110</v>
      </c>
      <c r="K104" t="s">
        <v>87</v>
      </c>
      <c r="L104" t="s">
        <v>80</v>
      </c>
      <c r="M104" t="s">
        <v>81</v>
      </c>
      <c r="N104" s="8">
        <v>46248</v>
      </c>
      <c r="O104" s="8">
        <v>46255</v>
      </c>
      <c r="P104" t="s">
        <v>42</v>
      </c>
      <c r="Q104" s="8"/>
      <c r="R104" t="s">
        <v>38</v>
      </c>
      <c r="S10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0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05" spans="1:20">
      <c r="A105" t="s">
        <v>285</v>
      </c>
      <c r="B105" t="s">
        <v>273</v>
      </c>
      <c r="C105" t="s">
        <v>45</v>
      </c>
      <c r="D105" t="s">
        <v>113</v>
      </c>
      <c r="E105" t="s">
        <v>119</v>
      </c>
      <c r="F105" t="s">
        <v>37</v>
      </c>
      <c r="G105" s="5">
        <v>7.8</v>
      </c>
      <c r="H105" s="7">
        <v>0.438</v>
      </c>
      <c r="I105" s="5" t="s">
        <v>38</v>
      </c>
      <c r="J105" t="s">
        <v>27</v>
      </c>
      <c r="K105" t="s">
        <v>28</v>
      </c>
      <c r="L105" t="s">
        <v>99</v>
      </c>
      <c r="M105" t="s">
        <v>100</v>
      </c>
      <c r="N105" s="8">
        <v>46270</v>
      </c>
      <c r="O105" s="8">
        <v>46284</v>
      </c>
      <c r="P105" t="s">
        <v>42</v>
      </c>
      <c r="Q105" s="8"/>
      <c r="R105" t="s">
        <v>26</v>
      </c>
      <c r="S10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0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06" spans="1:20">
      <c r="A106" t="s">
        <v>286</v>
      </c>
      <c r="B106" t="s">
        <v>287</v>
      </c>
      <c r="C106" t="s">
        <v>22</v>
      </c>
      <c r="D106" t="s">
        <v>23</v>
      </c>
      <c r="E106" t="s">
        <v>47</v>
      </c>
      <c r="F106" t="s">
        <v>37</v>
      </c>
      <c r="G106" s="5">
        <v>10</v>
      </c>
      <c r="H106" s="7">
        <v>0.435</v>
      </c>
      <c r="I106" s="5" t="s">
        <v>26</v>
      </c>
      <c r="J106" t="s">
        <v>110</v>
      </c>
      <c r="K106" t="s">
        <v>28</v>
      </c>
      <c r="L106" t="s">
        <v>54</v>
      </c>
      <c r="M106" t="s">
        <v>55</v>
      </c>
      <c r="N106" s="8">
        <v>46258</v>
      </c>
      <c r="O106" s="8">
        <v>46265</v>
      </c>
      <c r="P106" t="s">
        <v>42</v>
      </c>
      <c r="Q106" s="8"/>
      <c r="R106" t="s">
        <v>38</v>
      </c>
      <c r="S10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10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07" spans="1:20">
      <c r="A107" t="s">
        <v>288</v>
      </c>
      <c r="B107" t="s">
        <v>289</v>
      </c>
      <c r="C107" t="s">
        <v>22</v>
      </c>
      <c r="D107" t="s">
        <v>63</v>
      </c>
      <c r="E107" t="s">
        <v>24</v>
      </c>
      <c r="F107" t="s">
        <v>25</v>
      </c>
      <c r="G107" s="5">
        <v>10</v>
      </c>
      <c r="H107" s="7">
        <v>0.434</v>
      </c>
      <c r="I107" s="5" t="s">
        <v>26</v>
      </c>
      <c r="J107" t="s">
        <v>39</v>
      </c>
      <c r="K107" t="s">
        <v>28</v>
      </c>
      <c r="L107" t="s">
        <v>75</v>
      </c>
      <c r="M107" t="s">
        <v>129</v>
      </c>
      <c r="N107" s="8">
        <v>46256</v>
      </c>
      <c r="O107" s="8">
        <v>46263</v>
      </c>
      <c r="P107" t="s">
        <v>42</v>
      </c>
      <c r="Q107" s="8"/>
      <c r="R107" t="s">
        <v>38</v>
      </c>
      <c r="S10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10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08" spans="1:20">
      <c r="A108" t="s">
        <v>290</v>
      </c>
      <c r="B108" t="s">
        <v>291</v>
      </c>
      <c r="C108" t="s">
        <v>79</v>
      </c>
      <c r="D108" t="s">
        <v>84</v>
      </c>
      <c r="E108" t="s">
        <v>36</v>
      </c>
      <c r="F108" t="s">
        <v>37</v>
      </c>
      <c r="G108" s="5">
        <v>10</v>
      </c>
      <c r="H108" s="7">
        <v>0.155</v>
      </c>
      <c r="I108" s="5" t="s">
        <v>38</v>
      </c>
      <c r="J108" t="s">
        <v>27</v>
      </c>
      <c r="K108" t="s">
        <v>28</v>
      </c>
      <c r="L108" t="s">
        <v>80</v>
      </c>
      <c r="M108" t="s">
        <v>96</v>
      </c>
      <c r="N108" s="8">
        <v>46237</v>
      </c>
      <c r="O108" s="8">
        <v>46244</v>
      </c>
      <c r="P108" t="s">
        <v>101</v>
      </c>
      <c r="Q108" s="8">
        <v>46264</v>
      </c>
      <c r="R108" t="s">
        <v>26</v>
      </c>
      <c r="S10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0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09" spans="1:20">
      <c r="A109" t="s">
        <v>292</v>
      </c>
      <c r="B109" t="s">
        <v>293</v>
      </c>
      <c r="C109" t="s">
        <v>45</v>
      </c>
      <c r="D109" t="s">
        <v>90</v>
      </c>
      <c r="E109" t="s">
        <v>64</v>
      </c>
      <c r="F109" t="s">
        <v>37</v>
      </c>
      <c r="G109" s="5">
        <v>9.8000000000000007</v>
      </c>
      <c r="H109" s="7">
        <v>0.14499999999999999</v>
      </c>
      <c r="I109" s="5" t="s">
        <v>26</v>
      </c>
      <c r="J109" t="s">
        <v>110</v>
      </c>
      <c r="K109" t="s">
        <v>28</v>
      </c>
      <c r="L109" t="s">
        <v>80</v>
      </c>
      <c r="M109" t="s">
        <v>96</v>
      </c>
      <c r="N109" s="8">
        <v>46250</v>
      </c>
      <c r="O109" s="8">
        <v>46257</v>
      </c>
      <c r="P109" t="s">
        <v>50</v>
      </c>
      <c r="Q109" s="8"/>
      <c r="R109" t="s">
        <v>38</v>
      </c>
      <c r="S10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0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10" spans="1:20">
      <c r="A110" t="s">
        <v>294</v>
      </c>
      <c r="B110" t="s">
        <v>295</v>
      </c>
      <c r="C110" t="s">
        <v>58</v>
      </c>
      <c r="D110" t="s">
        <v>53</v>
      </c>
      <c r="E110" t="s">
        <v>70</v>
      </c>
      <c r="F110" t="s">
        <v>71</v>
      </c>
      <c r="G110" s="5">
        <v>9.8000000000000007</v>
      </c>
      <c r="H110" s="7">
        <v>0.14099999999999999</v>
      </c>
      <c r="I110" s="5" t="s">
        <v>26</v>
      </c>
      <c r="J110" t="s">
        <v>39</v>
      </c>
      <c r="K110" t="s">
        <v>28</v>
      </c>
      <c r="L110" t="s">
        <v>40</v>
      </c>
      <c r="M110" t="s">
        <v>72</v>
      </c>
      <c r="N110" s="8">
        <v>46248</v>
      </c>
      <c r="O110" s="8">
        <v>46255</v>
      </c>
      <c r="P110" t="s">
        <v>50</v>
      </c>
      <c r="Q110" s="8"/>
      <c r="R110" t="s">
        <v>38</v>
      </c>
      <c r="S11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1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11" spans="1:20">
      <c r="A111" t="s">
        <v>296</v>
      </c>
      <c r="B111" t="s">
        <v>297</v>
      </c>
      <c r="C111" t="s">
        <v>58</v>
      </c>
      <c r="D111" t="s">
        <v>53</v>
      </c>
      <c r="E111" t="s">
        <v>36</v>
      </c>
      <c r="F111" t="s">
        <v>37</v>
      </c>
      <c r="G111" s="5">
        <v>9.8000000000000007</v>
      </c>
      <c r="H111" s="7">
        <v>0.249</v>
      </c>
      <c r="I111" s="5" t="s">
        <v>38</v>
      </c>
      <c r="J111" t="s">
        <v>27</v>
      </c>
      <c r="K111" t="s">
        <v>28</v>
      </c>
      <c r="L111" t="s">
        <v>48</v>
      </c>
      <c r="M111" t="s">
        <v>49</v>
      </c>
      <c r="N111" s="8">
        <v>46275</v>
      </c>
      <c r="O111" s="8">
        <v>46282</v>
      </c>
      <c r="P111" t="s">
        <v>31</v>
      </c>
      <c r="Q111" s="8">
        <v>46294</v>
      </c>
      <c r="R111" t="s">
        <v>26</v>
      </c>
      <c r="S11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1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12" spans="1:20">
      <c r="A112" t="s">
        <v>298</v>
      </c>
      <c r="B112" t="s">
        <v>299</v>
      </c>
      <c r="C112" t="s">
        <v>59</v>
      </c>
      <c r="D112" t="s">
        <v>59</v>
      </c>
      <c r="E112" t="s">
        <v>116</v>
      </c>
      <c r="F112" t="s">
        <v>37</v>
      </c>
      <c r="G112" s="5">
        <v>8.1</v>
      </c>
      <c r="H112" s="7">
        <v>0.13800000000000001</v>
      </c>
      <c r="I112" s="5" t="s">
        <v>26</v>
      </c>
      <c r="J112" t="s">
        <v>27</v>
      </c>
      <c r="K112" t="s">
        <v>28</v>
      </c>
      <c r="L112" t="s">
        <v>75</v>
      </c>
      <c r="M112" t="s">
        <v>129</v>
      </c>
      <c r="N112" s="8">
        <v>46242</v>
      </c>
      <c r="O112" s="8">
        <v>46256</v>
      </c>
      <c r="P112" t="s">
        <v>31</v>
      </c>
      <c r="Q112" s="8">
        <v>46263</v>
      </c>
      <c r="R112" t="s">
        <v>26</v>
      </c>
      <c r="S11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1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13" spans="1:20">
      <c r="A113" t="s">
        <v>300</v>
      </c>
      <c r="B113" t="s">
        <v>301</v>
      </c>
      <c r="C113" t="s">
        <v>34</v>
      </c>
      <c r="D113" t="s">
        <v>122</v>
      </c>
      <c r="E113" t="s">
        <v>70</v>
      </c>
      <c r="F113" t="s">
        <v>71</v>
      </c>
      <c r="G113" s="5">
        <v>9.8000000000000007</v>
      </c>
      <c r="H113" s="7">
        <v>0.433</v>
      </c>
      <c r="I113" s="5" t="s">
        <v>26</v>
      </c>
      <c r="J113" t="s">
        <v>39</v>
      </c>
      <c r="K113" t="s">
        <v>28</v>
      </c>
      <c r="L113" t="s">
        <v>29</v>
      </c>
      <c r="M113" t="s">
        <v>65</v>
      </c>
      <c r="N113" s="8">
        <v>46247</v>
      </c>
      <c r="O113" s="8">
        <v>46254</v>
      </c>
      <c r="P113" t="s">
        <v>42</v>
      </c>
      <c r="Q113" s="8"/>
      <c r="R113" t="s">
        <v>38</v>
      </c>
      <c r="S11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1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14" spans="1:20">
      <c r="A114" t="s">
        <v>302</v>
      </c>
      <c r="B114" t="s">
        <v>303</v>
      </c>
      <c r="C114" t="s">
        <v>59</v>
      </c>
      <c r="D114" t="s">
        <v>104</v>
      </c>
      <c r="E114" t="s">
        <v>201</v>
      </c>
      <c r="F114" t="s">
        <v>202</v>
      </c>
      <c r="G114" s="5">
        <v>10</v>
      </c>
      <c r="H114" s="7">
        <v>0.12</v>
      </c>
      <c r="I114" s="5" t="s">
        <v>38</v>
      </c>
      <c r="J114" t="s">
        <v>27</v>
      </c>
      <c r="K114" t="s">
        <v>28</v>
      </c>
      <c r="L114" t="s">
        <v>40</v>
      </c>
      <c r="M114" t="s">
        <v>72</v>
      </c>
      <c r="N114" s="8">
        <v>46259</v>
      </c>
      <c r="O114" s="8">
        <v>46266</v>
      </c>
      <c r="P114" t="s">
        <v>31</v>
      </c>
      <c r="Q114" s="8">
        <v>46287</v>
      </c>
      <c r="R114" t="s">
        <v>26</v>
      </c>
      <c r="S11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1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15" spans="1:20">
      <c r="A115" t="s">
        <v>304</v>
      </c>
      <c r="B115" t="s">
        <v>305</v>
      </c>
      <c r="C115" t="s">
        <v>45</v>
      </c>
      <c r="D115" t="s">
        <v>59</v>
      </c>
      <c r="E115" t="s">
        <v>64</v>
      </c>
      <c r="F115" t="s">
        <v>37</v>
      </c>
      <c r="G115" s="5">
        <v>9.8000000000000007</v>
      </c>
      <c r="H115" s="7">
        <v>0.14000000000000001</v>
      </c>
      <c r="I115" s="5" t="s">
        <v>26</v>
      </c>
      <c r="J115" t="s">
        <v>110</v>
      </c>
      <c r="K115" t="s">
        <v>28</v>
      </c>
      <c r="L115" t="s">
        <v>75</v>
      </c>
      <c r="M115" t="s">
        <v>76</v>
      </c>
      <c r="N115" s="8">
        <v>46252</v>
      </c>
      <c r="O115" s="8">
        <v>46256</v>
      </c>
      <c r="P115" t="s">
        <v>50</v>
      </c>
      <c r="Q115" s="8"/>
      <c r="R115" t="s">
        <v>38</v>
      </c>
      <c r="S11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1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16" spans="1:20">
      <c r="A116" t="s">
        <v>306</v>
      </c>
      <c r="B116" t="s">
        <v>307</v>
      </c>
      <c r="C116" t="s">
        <v>79</v>
      </c>
      <c r="D116" t="s">
        <v>23</v>
      </c>
      <c r="E116" t="s">
        <v>201</v>
      </c>
      <c r="F116" t="s">
        <v>202</v>
      </c>
      <c r="G116" s="5">
        <v>9.8000000000000007</v>
      </c>
      <c r="H116" s="7">
        <v>0.433</v>
      </c>
      <c r="I116" s="5" t="s">
        <v>38</v>
      </c>
      <c r="J116" t="s">
        <v>27</v>
      </c>
      <c r="K116" t="s">
        <v>28</v>
      </c>
      <c r="L116" t="s">
        <v>75</v>
      </c>
      <c r="M116" t="s">
        <v>129</v>
      </c>
      <c r="N116" s="8">
        <v>46251</v>
      </c>
      <c r="O116" s="8">
        <v>46256</v>
      </c>
      <c r="P116" t="s">
        <v>42</v>
      </c>
      <c r="Q116" s="8"/>
      <c r="R116" t="s">
        <v>26</v>
      </c>
      <c r="S11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1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17" spans="1:20">
      <c r="A117" t="s">
        <v>308</v>
      </c>
      <c r="B117" t="s">
        <v>230</v>
      </c>
      <c r="C117" t="s">
        <v>45</v>
      </c>
      <c r="D117" t="s">
        <v>63</v>
      </c>
      <c r="E117" t="s">
        <v>70</v>
      </c>
      <c r="F117" t="s">
        <v>71</v>
      </c>
      <c r="G117" s="5">
        <v>9.8000000000000007</v>
      </c>
      <c r="H117" s="7">
        <v>0.43</v>
      </c>
      <c r="I117" s="5" t="s">
        <v>26</v>
      </c>
      <c r="J117" t="s">
        <v>39</v>
      </c>
      <c r="K117" t="s">
        <v>87</v>
      </c>
      <c r="L117" t="s">
        <v>54</v>
      </c>
      <c r="M117" t="s">
        <v>55</v>
      </c>
      <c r="N117" s="8">
        <v>46254</v>
      </c>
      <c r="O117" s="8">
        <v>46257</v>
      </c>
      <c r="P117" t="s">
        <v>42</v>
      </c>
      <c r="Q117" s="8"/>
      <c r="R117" t="s">
        <v>38</v>
      </c>
      <c r="S11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1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18" spans="1:20">
      <c r="A118" t="s">
        <v>309</v>
      </c>
      <c r="B118" t="s">
        <v>222</v>
      </c>
      <c r="C118" t="s">
        <v>22</v>
      </c>
      <c r="D118" t="s">
        <v>59</v>
      </c>
      <c r="E118" t="s">
        <v>142</v>
      </c>
      <c r="F118" t="s">
        <v>71</v>
      </c>
      <c r="G118" s="5">
        <v>8.8000000000000007</v>
      </c>
      <c r="H118" s="7">
        <v>0.43</v>
      </c>
      <c r="I118" s="5" t="s">
        <v>38</v>
      </c>
      <c r="J118" t="s">
        <v>39</v>
      </c>
      <c r="K118" t="s">
        <v>87</v>
      </c>
      <c r="L118" t="s">
        <v>29</v>
      </c>
      <c r="M118" t="s">
        <v>65</v>
      </c>
      <c r="N118" s="8">
        <v>46237</v>
      </c>
      <c r="O118" s="8">
        <v>46251</v>
      </c>
      <c r="P118" t="s">
        <v>42</v>
      </c>
      <c r="Q118" s="8"/>
      <c r="R118" t="s">
        <v>38</v>
      </c>
      <c r="S11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11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19" spans="1:20">
      <c r="A119" t="s">
        <v>310</v>
      </c>
      <c r="B119" t="s">
        <v>311</v>
      </c>
      <c r="C119" t="s">
        <v>45</v>
      </c>
      <c r="D119" t="s">
        <v>109</v>
      </c>
      <c r="E119" t="s">
        <v>47</v>
      </c>
      <c r="F119" t="s">
        <v>37</v>
      </c>
      <c r="G119" s="5">
        <v>10</v>
      </c>
      <c r="H119" s="7">
        <v>0.42699999999999999</v>
      </c>
      <c r="I119" s="5" t="s">
        <v>38</v>
      </c>
      <c r="J119" t="s">
        <v>27</v>
      </c>
      <c r="K119" t="s">
        <v>28</v>
      </c>
      <c r="L119" t="s">
        <v>99</v>
      </c>
      <c r="M119" t="s">
        <v>100</v>
      </c>
      <c r="N119" s="8">
        <v>46274</v>
      </c>
      <c r="O119" s="8">
        <v>46281</v>
      </c>
      <c r="P119" t="s">
        <v>42</v>
      </c>
      <c r="Q119" s="8"/>
      <c r="R119" t="s">
        <v>26</v>
      </c>
      <c r="S11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1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20" spans="1:20">
      <c r="A120" t="s">
        <v>312</v>
      </c>
      <c r="B120" t="s">
        <v>313</v>
      </c>
      <c r="C120" t="s">
        <v>79</v>
      </c>
      <c r="D120" t="s">
        <v>59</v>
      </c>
      <c r="E120" t="s">
        <v>216</v>
      </c>
      <c r="F120" t="s">
        <v>217</v>
      </c>
      <c r="G120" s="5">
        <v>9.3000000000000007</v>
      </c>
      <c r="H120" s="7">
        <v>0.42499999999999999</v>
      </c>
      <c r="I120" s="5" t="s">
        <v>38</v>
      </c>
      <c r="J120" t="s">
        <v>27</v>
      </c>
      <c r="K120" t="s">
        <v>60</v>
      </c>
      <c r="L120" t="s">
        <v>99</v>
      </c>
      <c r="M120" t="s">
        <v>100</v>
      </c>
      <c r="N120" s="8">
        <v>46248</v>
      </c>
      <c r="O120" s="8">
        <v>46253</v>
      </c>
      <c r="P120" t="s">
        <v>42</v>
      </c>
      <c r="Q120" s="8"/>
      <c r="R120" t="s">
        <v>26</v>
      </c>
      <c r="S12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2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21" spans="1:20">
      <c r="A121" t="s">
        <v>314</v>
      </c>
      <c r="B121" t="s">
        <v>315</v>
      </c>
      <c r="C121" t="s">
        <v>22</v>
      </c>
      <c r="D121" t="s">
        <v>84</v>
      </c>
      <c r="E121" t="s">
        <v>116</v>
      </c>
      <c r="F121" t="s">
        <v>37</v>
      </c>
      <c r="G121" s="5">
        <v>8.5</v>
      </c>
      <c r="H121" s="7">
        <v>0.42399999999999999</v>
      </c>
      <c r="I121" s="5" t="s">
        <v>26</v>
      </c>
      <c r="J121" t="s">
        <v>27</v>
      </c>
      <c r="K121" t="s">
        <v>28</v>
      </c>
      <c r="L121" t="s">
        <v>54</v>
      </c>
      <c r="M121" t="s">
        <v>55</v>
      </c>
      <c r="N121" s="8">
        <v>46250</v>
      </c>
      <c r="O121" s="8">
        <v>46264</v>
      </c>
      <c r="P121" t="s">
        <v>42</v>
      </c>
      <c r="Q121" s="8"/>
      <c r="R121" t="s">
        <v>26</v>
      </c>
      <c r="S12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2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22" spans="1:20">
      <c r="A122" t="s">
        <v>316</v>
      </c>
      <c r="B122" t="s">
        <v>317</v>
      </c>
      <c r="C122" t="s">
        <v>59</v>
      </c>
      <c r="D122" t="s">
        <v>63</v>
      </c>
      <c r="E122" t="s">
        <v>216</v>
      </c>
      <c r="F122" t="s">
        <v>217</v>
      </c>
      <c r="G122" s="5">
        <v>9.1</v>
      </c>
      <c r="H122" s="7">
        <v>0.42299999999999999</v>
      </c>
      <c r="I122" s="5" t="s">
        <v>38</v>
      </c>
      <c r="J122" t="s">
        <v>110</v>
      </c>
      <c r="K122" t="s">
        <v>87</v>
      </c>
      <c r="L122" t="s">
        <v>99</v>
      </c>
      <c r="M122" t="s">
        <v>100</v>
      </c>
      <c r="N122" s="8">
        <v>46268</v>
      </c>
      <c r="O122" s="8">
        <v>46275</v>
      </c>
      <c r="P122" t="s">
        <v>42</v>
      </c>
      <c r="Q122" s="8"/>
      <c r="R122" t="s">
        <v>38</v>
      </c>
      <c r="S12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12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23" spans="1:20">
      <c r="A123" t="s">
        <v>318</v>
      </c>
      <c r="B123" t="s">
        <v>319</v>
      </c>
      <c r="C123" t="s">
        <v>34</v>
      </c>
      <c r="D123" t="s">
        <v>53</v>
      </c>
      <c r="E123" t="s">
        <v>70</v>
      </c>
      <c r="F123" t="s">
        <v>71</v>
      </c>
      <c r="G123" s="5">
        <v>9.8000000000000007</v>
      </c>
      <c r="H123" s="7">
        <v>0.41899999999999998</v>
      </c>
      <c r="I123" s="5" t="s">
        <v>26</v>
      </c>
      <c r="J123" t="s">
        <v>110</v>
      </c>
      <c r="K123" t="s">
        <v>60</v>
      </c>
      <c r="L123" t="s">
        <v>48</v>
      </c>
      <c r="M123" t="s">
        <v>132</v>
      </c>
      <c r="N123" s="8">
        <v>46269</v>
      </c>
      <c r="O123" s="8">
        <v>46276</v>
      </c>
      <c r="P123" t="s">
        <v>42</v>
      </c>
      <c r="Q123" s="8"/>
      <c r="R123" t="s">
        <v>38</v>
      </c>
      <c r="S12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2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24" spans="1:20">
      <c r="A124" t="s">
        <v>320</v>
      </c>
      <c r="B124" t="s">
        <v>321</v>
      </c>
      <c r="C124" t="s">
        <v>34</v>
      </c>
      <c r="D124" t="s">
        <v>113</v>
      </c>
      <c r="E124" t="s">
        <v>201</v>
      </c>
      <c r="F124" t="s">
        <v>202</v>
      </c>
      <c r="G124" s="5">
        <v>10</v>
      </c>
      <c r="H124" s="7">
        <v>0.19</v>
      </c>
      <c r="I124" s="5" t="s">
        <v>38</v>
      </c>
      <c r="J124" t="s">
        <v>27</v>
      </c>
      <c r="K124" t="s">
        <v>28</v>
      </c>
      <c r="L124" t="s">
        <v>48</v>
      </c>
      <c r="M124" t="s">
        <v>49</v>
      </c>
      <c r="N124" s="8">
        <v>46245</v>
      </c>
      <c r="O124" s="8">
        <v>46252</v>
      </c>
      <c r="P124" t="s">
        <v>50</v>
      </c>
      <c r="Q124" s="8"/>
      <c r="R124" t="s">
        <v>26</v>
      </c>
      <c r="S12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2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25" spans="1:20">
      <c r="A125" t="s">
        <v>322</v>
      </c>
      <c r="B125" t="s">
        <v>323</v>
      </c>
      <c r="C125" t="s">
        <v>59</v>
      </c>
      <c r="D125" t="s">
        <v>59</v>
      </c>
      <c r="E125" t="s">
        <v>24</v>
      </c>
      <c r="F125" t="s">
        <v>25</v>
      </c>
      <c r="G125" s="5">
        <v>10</v>
      </c>
      <c r="H125" s="7">
        <v>0.39300000000000002</v>
      </c>
      <c r="I125" s="5" t="s">
        <v>26</v>
      </c>
      <c r="J125" t="s">
        <v>39</v>
      </c>
      <c r="K125" t="s">
        <v>87</v>
      </c>
      <c r="L125" t="s">
        <v>40</v>
      </c>
      <c r="M125" t="s">
        <v>41</v>
      </c>
      <c r="N125" s="8">
        <v>46245</v>
      </c>
      <c r="O125" s="8">
        <v>46252</v>
      </c>
      <c r="P125" t="s">
        <v>50</v>
      </c>
      <c r="Q125" s="8"/>
      <c r="R125" t="s">
        <v>38</v>
      </c>
      <c r="S12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2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26" spans="1:20">
      <c r="A126" t="s">
        <v>324</v>
      </c>
      <c r="B126" t="s">
        <v>325</v>
      </c>
      <c r="C126" t="s">
        <v>45</v>
      </c>
      <c r="D126" t="s">
        <v>63</v>
      </c>
      <c r="E126" t="s">
        <v>116</v>
      </c>
      <c r="F126" t="s">
        <v>37</v>
      </c>
      <c r="G126" s="5">
        <v>8.1</v>
      </c>
      <c r="H126" s="7">
        <v>7.4999999999999997E-2</v>
      </c>
      <c r="I126" s="5" t="s">
        <v>26</v>
      </c>
      <c r="J126" t="s">
        <v>27</v>
      </c>
      <c r="K126" t="s">
        <v>28</v>
      </c>
      <c r="L126" t="s">
        <v>80</v>
      </c>
      <c r="M126" t="s">
        <v>96</v>
      </c>
      <c r="N126" s="8">
        <v>46252</v>
      </c>
      <c r="O126" s="8">
        <v>46266</v>
      </c>
      <c r="P126" t="s">
        <v>50</v>
      </c>
      <c r="Q126" s="8"/>
      <c r="R126" t="s">
        <v>26</v>
      </c>
      <c r="S12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2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27" spans="1:20">
      <c r="A127" t="s">
        <v>326</v>
      </c>
      <c r="B127" t="s">
        <v>327</v>
      </c>
      <c r="C127" t="s">
        <v>22</v>
      </c>
      <c r="D127" t="s">
        <v>35</v>
      </c>
      <c r="E127" t="s">
        <v>119</v>
      </c>
      <c r="F127" t="s">
        <v>37</v>
      </c>
      <c r="G127" s="5">
        <v>7.8</v>
      </c>
      <c r="H127" s="7">
        <v>0.41899999999999998</v>
      </c>
      <c r="I127" s="5" t="s">
        <v>38</v>
      </c>
      <c r="J127" t="s">
        <v>39</v>
      </c>
      <c r="K127" t="s">
        <v>60</v>
      </c>
      <c r="L127" t="s">
        <v>75</v>
      </c>
      <c r="M127" t="s">
        <v>76</v>
      </c>
      <c r="N127" s="8">
        <v>46264</v>
      </c>
      <c r="O127" s="8">
        <v>46278</v>
      </c>
      <c r="P127" t="s">
        <v>42</v>
      </c>
      <c r="Q127" s="8"/>
      <c r="R127" t="s">
        <v>38</v>
      </c>
      <c r="S12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12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28" spans="1:20">
      <c r="A128" t="s">
        <v>328</v>
      </c>
      <c r="B128" t="s">
        <v>329</v>
      </c>
      <c r="C128" t="s">
        <v>79</v>
      </c>
      <c r="D128" t="s">
        <v>23</v>
      </c>
      <c r="E128" t="s">
        <v>142</v>
      </c>
      <c r="F128" t="s">
        <v>71</v>
      </c>
      <c r="G128" s="5">
        <v>9.1999999999999993</v>
      </c>
      <c r="H128" s="7">
        <v>0.40799999999999997</v>
      </c>
      <c r="I128" s="5" t="s">
        <v>38</v>
      </c>
      <c r="J128" t="s">
        <v>27</v>
      </c>
      <c r="K128" t="s">
        <v>87</v>
      </c>
      <c r="L128" t="s">
        <v>40</v>
      </c>
      <c r="M128" t="s">
        <v>72</v>
      </c>
      <c r="N128" s="8">
        <v>46256</v>
      </c>
      <c r="O128" s="8">
        <v>46263</v>
      </c>
      <c r="P128" t="s">
        <v>42</v>
      </c>
      <c r="Q128" s="8"/>
      <c r="R128" t="s">
        <v>26</v>
      </c>
      <c r="S12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2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29" spans="1:20">
      <c r="A129" t="s">
        <v>330</v>
      </c>
      <c r="B129" t="s">
        <v>153</v>
      </c>
      <c r="C129" t="s">
        <v>34</v>
      </c>
      <c r="D129" t="s">
        <v>46</v>
      </c>
      <c r="E129" t="s">
        <v>47</v>
      </c>
      <c r="F129" t="s">
        <v>37</v>
      </c>
      <c r="G129" s="5">
        <v>10</v>
      </c>
      <c r="H129" s="7">
        <v>0.17399999999999999</v>
      </c>
      <c r="I129" s="5" t="s">
        <v>38</v>
      </c>
      <c r="J129" t="s">
        <v>27</v>
      </c>
      <c r="K129" t="s">
        <v>28</v>
      </c>
      <c r="L129" t="s">
        <v>29</v>
      </c>
      <c r="M129" t="s">
        <v>30</v>
      </c>
      <c r="N129" s="8">
        <v>46254</v>
      </c>
      <c r="O129" s="8">
        <v>46259</v>
      </c>
      <c r="P129" t="s">
        <v>31</v>
      </c>
      <c r="Q129" s="8">
        <v>46280</v>
      </c>
      <c r="R129" t="s">
        <v>26</v>
      </c>
      <c r="S12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2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30" spans="1:20">
      <c r="A130" t="s">
        <v>331</v>
      </c>
      <c r="B130" t="s">
        <v>332</v>
      </c>
      <c r="C130" t="s">
        <v>58</v>
      </c>
      <c r="D130" t="s">
        <v>63</v>
      </c>
      <c r="E130" t="s">
        <v>125</v>
      </c>
      <c r="F130" t="s">
        <v>126</v>
      </c>
      <c r="G130" s="5">
        <v>8.6</v>
      </c>
      <c r="H130" s="7">
        <v>0.40799999999999997</v>
      </c>
      <c r="I130" s="5" t="s">
        <v>38</v>
      </c>
      <c r="J130" t="s">
        <v>110</v>
      </c>
      <c r="K130" t="s">
        <v>60</v>
      </c>
      <c r="L130" t="s">
        <v>80</v>
      </c>
      <c r="M130" t="s">
        <v>81</v>
      </c>
      <c r="N130" s="8">
        <v>46253</v>
      </c>
      <c r="O130" s="8">
        <v>46267</v>
      </c>
      <c r="P130" t="s">
        <v>42</v>
      </c>
      <c r="Q130" s="8"/>
      <c r="R130" t="s">
        <v>38</v>
      </c>
      <c r="S13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13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31" spans="1:20">
      <c r="A131" t="s">
        <v>333</v>
      </c>
      <c r="B131" t="s">
        <v>313</v>
      </c>
      <c r="C131" t="s">
        <v>79</v>
      </c>
      <c r="D131" t="s">
        <v>113</v>
      </c>
      <c r="E131" t="s">
        <v>47</v>
      </c>
      <c r="F131" t="s">
        <v>37</v>
      </c>
      <c r="G131" s="5">
        <v>10</v>
      </c>
      <c r="H131" s="7">
        <v>0.33400000000000002</v>
      </c>
      <c r="I131" s="5" t="s">
        <v>26</v>
      </c>
      <c r="J131" t="s">
        <v>39</v>
      </c>
      <c r="K131" t="s">
        <v>87</v>
      </c>
      <c r="L131" t="s">
        <v>54</v>
      </c>
      <c r="M131" t="s">
        <v>55</v>
      </c>
      <c r="N131" s="8">
        <v>46274</v>
      </c>
      <c r="O131" s="8">
        <v>46280</v>
      </c>
      <c r="P131" t="s">
        <v>101</v>
      </c>
      <c r="Q131" s="8">
        <v>46284</v>
      </c>
      <c r="R131" t="s">
        <v>38</v>
      </c>
      <c r="S13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3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32" spans="1:20">
      <c r="A132" t="s">
        <v>334</v>
      </c>
      <c r="B132" t="s">
        <v>335</v>
      </c>
      <c r="C132" t="s">
        <v>59</v>
      </c>
      <c r="D132" t="s">
        <v>90</v>
      </c>
      <c r="E132" t="s">
        <v>125</v>
      </c>
      <c r="F132" t="s">
        <v>126</v>
      </c>
      <c r="G132" s="5">
        <v>8.6</v>
      </c>
      <c r="H132" s="7">
        <v>0.40400000000000003</v>
      </c>
      <c r="I132" s="5" t="s">
        <v>38</v>
      </c>
      <c r="J132" t="s">
        <v>27</v>
      </c>
      <c r="K132" t="s">
        <v>87</v>
      </c>
      <c r="L132" t="s">
        <v>54</v>
      </c>
      <c r="M132" t="s">
        <v>55</v>
      </c>
      <c r="N132" s="8">
        <v>46253</v>
      </c>
      <c r="O132" s="8">
        <v>46263</v>
      </c>
      <c r="P132" t="s">
        <v>42</v>
      </c>
      <c r="Q132" s="8"/>
      <c r="R132" t="s">
        <v>26</v>
      </c>
      <c r="S13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3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33" spans="1:20">
      <c r="A133" t="s">
        <v>336</v>
      </c>
      <c r="B133" t="s">
        <v>337</v>
      </c>
      <c r="C133" t="s">
        <v>58</v>
      </c>
      <c r="D133" t="s">
        <v>53</v>
      </c>
      <c r="E133" t="s">
        <v>24</v>
      </c>
      <c r="F133" t="s">
        <v>25</v>
      </c>
      <c r="G133" s="5">
        <v>10</v>
      </c>
      <c r="H133" s="7">
        <v>0.23799999999999999</v>
      </c>
      <c r="I133" s="5" t="s">
        <v>26</v>
      </c>
      <c r="J133" t="s">
        <v>39</v>
      </c>
      <c r="K133" t="s">
        <v>87</v>
      </c>
      <c r="L133" t="s">
        <v>80</v>
      </c>
      <c r="M133" t="s">
        <v>96</v>
      </c>
      <c r="N133" s="8">
        <v>46273</v>
      </c>
      <c r="O133" s="8">
        <v>46280</v>
      </c>
      <c r="P133" t="s">
        <v>31</v>
      </c>
      <c r="Q133" s="8">
        <v>46300</v>
      </c>
      <c r="R133" t="s">
        <v>38</v>
      </c>
      <c r="S13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3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34" spans="1:20">
      <c r="A134" t="s">
        <v>338</v>
      </c>
      <c r="B134" t="s">
        <v>339</v>
      </c>
      <c r="C134" t="s">
        <v>79</v>
      </c>
      <c r="D134" t="s">
        <v>90</v>
      </c>
      <c r="E134" t="s">
        <v>47</v>
      </c>
      <c r="F134" t="s">
        <v>37</v>
      </c>
      <c r="G134" s="5">
        <v>10</v>
      </c>
      <c r="H134" s="7">
        <v>0.39900000000000002</v>
      </c>
      <c r="I134" s="5" t="s">
        <v>38</v>
      </c>
      <c r="J134" t="s">
        <v>39</v>
      </c>
      <c r="K134" t="s">
        <v>87</v>
      </c>
      <c r="L134" t="s">
        <v>48</v>
      </c>
      <c r="M134" t="s">
        <v>49</v>
      </c>
      <c r="N134" s="8">
        <v>46262</v>
      </c>
      <c r="O134" s="8">
        <v>46269</v>
      </c>
      <c r="P134" t="s">
        <v>42</v>
      </c>
      <c r="Q134" s="8"/>
      <c r="R134" t="s">
        <v>38</v>
      </c>
      <c r="S13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3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35" spans="1:20">
      <c r="A135" t="s">
        <v>340</v>
      </c>
      <c r="B135" t="s">
        <v>341</v>
      </c>
      <c r="C135" t="s">
        <v>59</v>
      </c>
      <c r="D135" t="s">
        <v>84</v>
      </c>
      <c r="E135" t="s">
        <v>201</v>
      </c>
      <c r="F135" t="s">
        <v>202</v>
      </c>
      <c r="G135" s="5">
        <v>9.8000000000000007</v>
      </c>
      <c r="H135" s="7">
        <v>0.39500000000000002</v>
      </c>
      <c r="I135" s="5" t="s">
        <v>38</v>
      </c>
      <c r="J135" t="s">
        <v>39</v>
      </c>
      <c r="K135" t="s">
        <v>28</v>
      </c>
      <c r="L135" t="s">
        <v>54</v>
      </c>
      <c r="M135" t="s">
        <v>55</v>
      </c>
      <c r="N135" s="8">
        <v>46244</v>
      </c>
      <c r="O135" s="8">
        <v>46251</v>
      </c>
      <c r="P135" t="s">
        <v>42</v>
      </c>
      <c r="Q135" s="8"/>
      <c r="R135" t="s">
        <v>38</v>
      </c>
      <c r="S13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3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36" spans="1:20">
      <c r="A136" t="s">
        <v>342</v>
      </c>
      <c r="B136" t="s">
        <v>343</v>
      </c>
      <c r="C136" t="s">
        <v>58</v>
      </c>
      <c r="D136" t="s">
        <v>53</v>
      </c>
      <c r="E136" t="s">
        <v>64</v>
      </c>
      <c r="F136" t="s">
        <v>37</v>
      </c>
      <c r="G136" s="5">
        <v>9.8000000000000007</v>
      </c>
      <c r="H136" s="7">
        <v>5.6000000000000001E-2</v>
      </c>
      <c r="I136" s="5" t="s">
        <v>26</v>
      </c>
      <c r="J136" t="s">
        <v>39</v>
      </c>
      <c r="K136" t="s">
        <v>28</v>
      </c>
      <c r="L136" t="s">
        <v>80</v>
      </c>
      <c r="M136" t="s">
        <v>96</v>
      </c>
      <c r="N136" s="8">
        <v>46240</v>
      </c>
      <c r="O136" s="8">
        <v>46247</v>
      </c>
      <c r="P136" t="s">
        <v>101</v>
      </c>
      <c r="Q136" s="8">
        <v>46259</v>
      </c>
      <c r="R136" t="s">
        <v>38</v>
      </c>
      <c r="S13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3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37" spans="1:20">
      <c r="A137" t="s">
        <v>344</v>
      </c>
      <c r="B137" t="s">
        <v>345</v>
      </c>
      <c r="C137" t="s">
        <v>22</v>
      </c>
      <c r="D137" t="s">
        <v>113</v>
      </c>
      <c r="E137" t="s">
        <v>142</v>
      </c>
      <c r="F137" t="s">
        <v>71</v>
      </c>
      <c r="G137" s="5">
        <v>8.8000000000000007</v>
      </c>
      <c r="H137" s="7">
        <v>0.39500000000000002</v>
      </c>
      <c r="I137" s="5" t="s">
        <v>38</v>
      </c>
      <c r="J137" t="s">
        <v>110</v>
      </c>
      <c r="K137" t="s">
        <v>87</v>
      </c>
      <c r="L137" t="s">
        <v>75</v>
      </c>
      <c r="M137" t="s">
        <v>129</v>
      </c>
      <c r="N137" s="8">
        <v>46259</v>
      </c>
      <c r="O137" s="8">
        <v>46273</v>
      </c>
      <c r="P137" t="s">
        <v>42</v>
      </c>
      <c r="Q137" s="8"/>
      <c r="R137" t="s">
        <v>38</v>
      </c>
      <c r="S13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13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38" spans="1:20">
      <c r="A138" t="s">
        <v>346</v>
      </c>
      <c r="B138" t="s">
        <v>347</v>
      </c>
      <c r="C138" t="s">
        <v>34</v>
      </c>
      <c r="D138" t="s">
        <v>122</v>
      </c>
      <c r="E138" t="s">
        <v>36</v>
      </c>
      <c r="F138" t="s">
        <v>37</v>
      </c>
      <c r="G138" s="5">
        <v>10</v>
      </c>
      <c r="H138" s="7">
        <v>0.192</v>
      </c>
      <c r="I138" s="5" t="s">
        <v>38</v>
      </c>
      <c r="J138" t="s">
        <v>27</v>
      </c>
      <c r="K138" t="s">
        <v>28</v>
      </c>
      <c r="L138" t="s">
        <v>80</v>
      </c>
      <c r="M138" t="s">
        <v>81</v>
      </c>
      <c r="N138" s="8">
        <v>46250</v>
      </c>
      <c r="O138" s="8">
        <v>46254</v>
      </c>
      <c r="P138" t="s">
        <v>31</v>
      </c>
      <c r="Q138" s="8">
        <v>46276</v>
      </c>
      <c r="R138" t="s">
        <v>26</v>
      </c>
      <c r="S13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3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39" spans="1:20">
      <c r="A139" t="s">
        <v>348</v>
      </c>
      <c r="B139" t="s">
        <v>349</v>
      </c>
      <c r="C139" t="s">
        <v>59</v>
      </c>
      <c r="D139" t="s">
        <v>35</v>
      </c>
      <c r="E139" t="s">
        <v>36</v>
      </c>
      <c r="F139" t="s">
        <v>37</v>
      </c>
      <c r="G139" s="5">
        <v>9.8000000000000007</v>
      </c>
      <c r="H139" s="7">
        <v>0.39300000000000002</v>
      </c>
      <c r="I139" s="5" t="s">
        <v>38</v>
      </c>
      <c r="J139" t="s">
        <v>27</v>
      </c>
      <c r="K139" t="s">
        <v>28</v>
      </c>
      <c r="L139" t="s">
        <v>29</v>
      </c>
      <c r="M139" t="s">
        <v>30</v>
      </c>
      <c r="N139" s="8">
        <v>46253</v>
      </c>
      <c r="O139" s="8">
        <v>46260</v>
      </c>
      <c r="P139" t="s">
        <v>42</v>
      </c>
      <c r="Q139" s="8"/>
      <c r="R139" t="s">
        <v>26</v>
      </c>
      <c r="S13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3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40" spans="1:20">
      <c r="A140" t="s">
        <v>350</v>
      </c>
      <c r="B140" t="s">
        <v>351</v>
      </c>
      <c r="C140" t="s">
        <v>59</v>
      </c>
      <c r="D140" t="s">
        <v>122</v>
      </c>
      <c r="E140" t="s">
        <v>24</v>
      </c>
      <c r="F140" t="s">
        <v>25</v>
      </c>
      <c r="G140" s="5">
        <v>10</v>
      </c>
      <c r="H140" s="7">
        <v>0.05</v>
      </c>
      <c r="I140" s="5" t="s">
        <v>26</v>
      </c>
      <c r="J140" t="s">
        <v>110</v>
      </c>
      <c r="K140" t="s">
        <v>60</v>
      </c>
      <c r="L140" t="s">
        <v>29</v>
      </c>
      <c r="M140" t="s">
        <v>30</v>
      </c>
      <c r="N140" s="8">
        <v>46257</v>
      </c>
      <c r="O140" s="8">
        <v>46264</v>
      </c>
      <c r="P140" t="s">
        <v>31</v>
      </c>
      <c r="Q140" s="8">
        <v>46259</v>
      </c>
      <c r="R140" t="s">
        <v>38</v>
      </c>
      <c r="S14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4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41" spans="1:20">
      <c r="A141" t="s">
        <v>352</v>
      </c>
      <c r="B141" t="s">
        <v>353</v>
      </c>
      <c r="C141" t="s">
        <v>22</v>
      </c>
      <c r="D141" t="s">
        <v>109</v>
      </c>
      <c r="E141" t="s">
        <v>201</v>
      </c>
      <c r="F141" t="s">
        <v>202</v>
      </c>
      <c r="G141" s="5">
        <v>9.8000000000000007</v>
      </c>
      <c r="H141" s="7">
        <v>0.38600000000000001</v>
      </c>
      <c r="I141" s="5" t="s">
        <v>38</v>
      </c>
      <c r="J141" t="s">
        <v>39</v>
      </c>
      <c r="K141" t="s">
        <v>28</v>
      </c>
      <c r="L141" t="s">
        <v>29</v>
      </c>
      <c r="M141" t="s">
        <v>30</v>
      </c>
      <c r="N141" s="8">
        <v>46268</v>
      </c>
      <c r="O141" s="8">
        <v>46275</v>
      </c>
      <c r="P141" t="s">
        <v>42</v>
      </c>
      <c r="Q141" s="8"/>
      <c r="R141" t="s">
        <v>38</v>
      </c>
      <c r="S14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4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42" spans="1:20">
      <c r="A142" t="s">
        <v>354</v>
      </c>
      <c r="B142" t="s">
        <v>355</v>
      </c>
      <c r="C142" t="s">
        <v>58</v>
      </c>
      <c r="D142" t="s">
        <v>104</v>
      </c>
      <c r="E142" t="s">
        <v>216</v>
      </c>
      <c r="F142" t="s">
        <v>217</v>
      </c>
      <c r="G142" s="5">
        <v>9.3000000000000007</v>
      </c>
      <c r="H142" s="7">
        <v>0.52500000000000002</v>
      </c>
      <c r="I142" s="5" t="s">
        <v>38</v>
      </c>
      <c r="J142" t="s">
        <v>27</v>
      </c>
      <c r="K142" t="s">
        <v>28</v>
      </c>
      <c r="L142" t="s">
        <v>48</v>
      </c>
      <c r="M142" t="s">
        <v>49</v>
      </c>
      <c r="N142" s="8">
        <v>46250</v>
      </c>
      <c r="O142" s="8">
        <v>46257</v>
      </c>
      <c r="P142" t="s">
        <v>31</v>
      </c>
      <c r="Q142" s="8">
        <v>46274</v>
      </c>
      <c r="R142" t="s">
        <v>26</v>
      </c>
      <c r="S14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4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43" spans="1:20">
      <c r="A143" t="s">
        <v>356</v>
      </c>
      <c r="B143" t="s">
        <v>357</v>
      </c>
      <c r="C143" t="s">
        <v>45</v>
      </c>
      <c r="D143" t="s">
        <v>23</v>
      </c>
      <c r="E143" t="s">
        <v>201</v>
      </c>
      <c r="F143" t="s">
        <v>202</v>
      </c>
      <c r="G143" s="5">
        <v>9.8000000000000007</v>
      </c>
      <c r="H143" s="7">
        <v>0.38500000000000001</v>
      </c>
      <c r="I143" s="5" t="s">
        <v>38</v>
      </c>
      <c r="J143" t="s">
        <v>110</v>
      </c>
      <c r="K143" t="s">
        <v>60</v>
      </c>
      <c r="L143" t="s">
        <v>75</v>
      </c>
      <c r="M143" t="s">
        <v>129</v>
      </c>
      <c r="N143" s="8">
        <v>46252</v>
      </c>
      <c r="O143" s="8">
        <v>46259</v>
      </c>
      <c r="P143" t="s">
        <v>42</v>
      </c>
      <c r="Q143" s="8"/>
      <c r="R143" t="s">
        <v>38</v>
      </c>
      <c r="S14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4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44" spans="1:20">
      <c r="A144" t="s">
        <v>358</v>
      </c>
      <c r="B144" t="s">
        <v>359</v>
      </c>
      <c r="C144" t="s">
        <v>34</v>
      </c>
      <c r="D144" t="s">
        <v>23</v>
      </c>
      <c r="E144" t="s">
        <v>64</v>
      </c>
      <c r="F144" t="s">
        <v>37</v>
      </c>
      <c r="G144" s="5">
        <v>9.8000000000000007</v>
      </c>
      <c r="H144" s="7">
        <v>0.214</v>
      </c>
      <c r="I144" s="5" t="s">
        <v>26</v>
      </c>
      <c r="J144" t="s">
        <v>39</v>
      </c>
      <c r="K144" t="s">
        <v>60</v>
      </c>
      <c r="L144" t="s">
        <v>54</v>
      </c>
      <c r="M144" t="s">
        <v>55</v>
      </c>
      <c r="N144" s="8">
        <v>46245</v>
      </c>
      <c r="O144" s="8">
        <v>46252</v>
      </c>
      <c r="P144" t="s">
        <v>31</v>
      </c>
      <c r="Q144" s="8">
        <v>46274</v>
      </c>
      <c r="R144" t="s">
        <v>38</v>
      </c>
      <c r="S14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4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45" spans="1:20">
      <c r="A145" t="s">
        <v>360</v>
      </c>
      <c r="B145" t="s">
        <v>361</v>
      </c>
      <c r="C145" t="s">
        <v>22</v>
      </c>
      <c r="D145" t="s">
        <v>23</v>
      </c>
      <c r="E145" t="s">
        <v>36</v>
      </c>
      <c r="F145" t="s">
        <v>37</v>
      </c>
      <c r="G145" s="5">
        <v>9.8000000000000007</v>
      </c>
      <c r="H145" s="7">
        <v>0.38500000000000001</v>
      </c>
      <c r="I145" s="5" t="s">
        <v>38</v>
      </c>
      <c r="J145" t="s">
        <v>39</v>
      </c>
      <c r="K145" t="s">
        <v>60</v>
      </c>
      <c r="L145" t="s">
        <v>29</v>
      </c>
      <c r="M145" t="s">
        <v>65</v>
      </c>
      <c r="N145" s="8">
        <v>46271</v>
      </c>
      <c r="O145" s="8">
        <v>46278</v>
      </c>
      <c r="P145" t="s">
        <v>42</v>
      </c>
      <c r="Q145" s="8"/>
      <c r="R145" t="s">
        <v>38</v>
      </c>
      <c r="S14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4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46" spans="1:20">
      <c r="A146" t="s">
        <v>362</v>
      </c>
      <c r="B146" t="s">
        <v>363</v>
      </c>
      <c r="C146" t="s">
        <v>58</v>
      </c>
      <c r="D146" t="s">
        <v>109</v>
      </c>
      <c r="E146" t="s">
        <v>47</v>
      </c>
      <c r="F146" t="s">
        <v>37</v>
      </c>
      <c r="G146" s="5">
        <v>10</v>
      </c>
      <c r="H146" s="7">
        <v>0.32100000000000001</v>
      </c>
      <c r="I146" s="5" t="s">
        <v>26</v>
      </c>
      <c r="J146" t="s">
        <v>27</v>
      </c>
      <c r="K146" t="s">
        <v>28</v>
      </c>
      <c r="L146" t="s">
        <v>99</v>
      </c>
      <c r="M146" t="s">
        <v>100</v>
      </c>
      <c r="N146" s="8">
        <v>46252</v>
      </c>
      <c r="O146" s="8">
        <v>46259</v>
      </c>
      <c r="P146" t="s">
        <v>42</v>
      </c>
      <c r="Q146" s="8"/>
      <c r="R146" t="s">
        <v>26</v>
      </c>
      <c r="S14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14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147" spans="1:20">
      <c r="A147" t="s">
        <v>364</v>
      </c>
      <c r="B147" t="s">
        <v>163</v>
      </c>
      <c r="C147" t="s">
        <v>22</v>
      </c>
      <c r="D147" t="s">
        <v>104</v>
      </c>
      <c r="E147" t="s">
        <v>201</v>
      </c>
      <c r="F147" t="s">
        <v>202</v>
      </c>
      <c r="G147" s="5">
        <v>9.8000000000000007</v>
      </c>
      <c r="H147" s="7">
        <v>0.38300000000000001</v>
      </c>
      <c r="I147" s="5" t="s">
        <v>38</v>
      </c>
      <c r="J147" t="s">
        <v>27</v>
      </c>
      <c r="K147" t="s">
        <v>87</v>
      </c>
      <c r="L147" t="s">
        <v>80</v>
      </c>
      <c r="M147" t="s">
        <v>96</v>
      </c>
      <c r="N147" s="8">
        <v>46261</v>
      </c>
      <c r="O147" s="8">
        <v>46268</v>
      </c>
      <c r="P147" t="s">
        <v>42</v>
      </c>
      <c r="Q147" s="8"/>
      <c r="R147" t="s">
        <v>26</v>
      </c>
      <c r="S14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4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48" spans="1:20">
      <c r="A148" t="s">
        <v>365</v>
      </c>
      <c r="B148" t="s">
        <v>366</v>
      </c>
      <c r="C148" t="s">
        <v>22</v>
      </c>
      <c r="D148" t="s">
        <v>63</v>
      </c>
      <c r="E148" t="s">
        <v>201</v>
      </c>
      <c r="F148" t="s">
        <v>202</v>
      </c>
      <c r="G148" s="5">
        <v>9.8000000000000007</v>
      </c>
      <c r="H148" s="7">
        <v>0.38100000000000001</v>
      </c>
      <c r="I148" s="5" t="s">
        <v>38</v>
      </c>
      <c r="J148" t="s">
        <v>39</v>
      </c>
      <c r="K148" t="s">
        <v>28</v>
      </c>
      <c r="L148" t="s">
        <v>75</v>
      </c>
      <c r="M148" t="s">
        <v>129</v>
      </c>
      <c r="N148" s="8">
        <v>46250</v>
      </c>
      <c r="O148" s="8">
        <v>46257</v>
      </c>
      <c r="P148" t="s">
        <v>42</v>
      </c>
      <c r="Q148" s="8"/>
      <c r="R148" t="s">
        <v>38</v>
      </c>
      <c r="S14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4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49" spans="1:20">
      <c r="A149" t="s">
        <v>367</v>
      </c>
      <c r="B149" t="s">
        <v>368</v>
      </c>
      <c r="C149" t="s">
        <v>45</v>
      </c>
      <c r="D149" t="s">
        <v>23</v>
      </c>
      <c r="E149" t="s">
        <v>24</v>
      </c>
      <c r="F149" t="s">
        <v>25</v>
      </c>
      <c r="G149" s="5">
        <v>10</v>
      </c>
      <c r="H149" s="7">
        <v>0.47799999999999998</v>
      </c>
      <c r="I149" s="5" t="s">
        <v>26</v>
      </c>
      <c r="J149" t="s">
        <v>39</v>
      </c>
      <c r="K149" t="s">
        <v>87</v>
      </c>
      <c r="L149" t="s">
        <v>54</v>
      </c>
      <c r="M149" t="s">
        <v>55</v>
      </c>
      <c r="N149" s="8">
        <v>46237</v>
      </c>
      <c r="O149" s="8">
        <v>46242</v>
      </c>
      <c r="P149" t="s">
        <v>50</v>
      </c>
      <c r="Q149" s="8"/>
      <c r="R149" t="s">
        <v>38</v>
      </c>
      <c r="S14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4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50" spans="1:20">
      <c r="A150" t="s">
        <v>369</v>
      </c>
      <c r="B150" t="s">
        <v>370</v>
      </c>
      <c r="C150" t="s">
        <v>45</v>
      </c>
      <c r="D150" t="s">
        <v>59</v>
      </c>
      <c r="E150" t="s">
        <v>64</v>
      </c>
      <c r="F150" t="s">
        <v>37</v>
      </c>
      <c r="G150" s="5">
        <v>9.8000000000000007</v>
      </c>
      <c r="H150" s="7">
        <v>0.38100000000000001</v>
      </c>
      <c r="I150" s="5" t="s">
        <v>38</v>
      </c>
      <c r="J150" t="s">
        <v>39</v>
      </c>
      <c r="K150" t="s">
        <v>60</v>
      </c>
      <c r="L150" t="s">
        <v>48</v>
      </c>
      <c r="M150" t="s">
        <v>132</v>
      </c>
      <c r="N150" s="8">
        <v>46265</v>
      </c>
      <c r="O150" s="8">
        <v>46272</v>
      </c>
      <c r="P150" t="s">
        <v>42</v>
      </c>
      <c r="Q150" s="8"/>
      <c r="R150" t="s">
        <v>38</v>
      </c>
      <c r="S15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5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51" spans="1:20">
      <c r="A151" t="s">
        <v>371</v>
      </c>
      <c r="B151" t="s">
        <v>372</v>
      </c>
      <c r="C151" t="s">
        <v>59</v>
      </c>
      <c r="D151" t="s">
        <v>23</v>
      </c>
      <c r="E151" t="s">
        <v>201</v>
      </c>
      <c r="F151" t="s">
        <v>202</v>
      </c>
      <c r="G151" s="5">
        <v>9.8000000000000007</v>
      </c>
      <c r="H151" s="7">
        <v>0.378</v>
      </c>
      <c r="I151" s="5" t="s">
        <v>38</v>
      </c>
      <c r="J151" t="s">
        <v>39</v>
      </c>
      <c r="K151" t="s">
        <v>87</v>
      </c>
      <c r="L151" t="s">
        <v>54</v>
      </c>
      <c r="M151" t="s">
        <v>55</v>
      </c>
      <c r="N151" s="8">
        <v>46246</v>
      </c>
      <c r="O151" s="8">
        <v>46249</v>
      </c>
      <c r="P151" t="s">
        <v>42</v>
      </c>
      <c r="Q151" s="8"/>
      <c r="R151" t="s">
        <v>38</v>
      </c>
      <c r="S15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5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52" spans="1:20">
      <c r="A152" t="s">
        <v>373</v>
      </c>
      <c r="B152" t="s">
        <v>374</v>
      </c>
      <c r="C152" t="s">
        <v>58</v>
      </c>
      <c r="D152" t="s">
        <v>46</v>
      </c>
      <c r="E152" t="s">
        <v>24</v>
      </c>
      <c r="F152" t="s">
        <v>25</v>
      </c>
      <c r="G152" s="5">
        <v>10</v>
      </c>
      <c r="H152" s="7">
        <v>0.377</v>
      </c>
      <c r="I152" s="5" t="s">
        <v>38</v>
      </c>
      <c r="J152" t="s">
        <v>39</v>
      </c>
      <c r="K152" t="s">
        <v>60</v>
      </c>
      <c r="L152" t="s">
        <v>40</v>
      </c>
      <c r="M152" t="s">
        <v>41</v>
      </c>
      <c r="N152" s="8">
        <v>46266</v>
      </c>
      <c r="O152" s="8">
        <v>46273</v>
      </c>
      <c r="P152" t="s">
        <v>42</v>
      </c>
      <c r="Q152" s="8"/>
      <c r="R152" t="s">
        <v>38</v>
      </c>
      <c r="S15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5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53" spans="1:20">
      <c r="A153" t="s">
        <v>375</v>
      </c>
      <c r="B153" t="s">
        <v>376</v>
      </c>
      <c r="C153" t="s">
        <v>59</v>
      </c>
      <c r="D153" t="s">
        <v>104</v>
      </c>
      <c r="E153" t="s">
        <v>64</v>
      </c>
      <c r="F153" t="s">
        <v>37</v>
      </c>
      <c r="G153" s="5">
        <v>9.8000000000000007</v>
      </c>
      <c r="H153" s="7">
        <v>0.375</v>
      </c>
      <c r="I153" s="5" t="s">
        <v>26</v>
      </c>
      <c r="J153" t="s">
        <v>27</v>
      </c>
      <c r="K153" t="s">
        <v>60</v>
      </c>
      <c r="L153" t="s">
        <v>80</v>
      </c>
      <c r="M153" t="s">
        <v>96</v>
      </c>
      <c r="N153" s="8">
        <v>46274</v>
      </c>
      <c r="O153" s="8">
        <v>46281</v>
      </c>
      <c r="P153" t="s">
        <v>42</v>
      </c>
      <c r="Q153" s="8"/>
      <c r="R153" t="s">
        <v>26</v>
      </c>
      <c r="S15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15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54" spans="1:20">
      <c r="A154" t="s">
        <v>377</v>
      </c>
      <c r="B154" t="s">
        <v>378</v>
      </c>
      <c r="C154" t="s">
        <v>79</v>
      </c>
      <c r="D154" t="s">
        <v>109</v>
      </c>
      <c r="E154" t="s">
        <v>24</v>
      </c>
      <c r="F154" t="s">
        <v>25</v>
      </c>
      <c r="G154" s="5">
        <v>10</v>
      </c>
      <c r="H154" s="7">
        <v>0.371</v>
      </c>
      <c r="I154" s="5" t="s">
        <v>26</v>
      </c>
      <c r="J154" t="s">
        <v>39</v>
      </c>
      <c r="K154" t="s">
        <v>60</v>
      </c>
      <c r="L154" t="s">
        <v>75</v>
      </c>
      <c r="M154" t="s">
        <v>76</v>
      </c>
      <c r="N154" s="8">
        <v>46275</v>
      </c>
      <c r="O154" s="8">
        <v>46282</v>
      </c>
      <c r="P154" t="s">
        <v>42</v>
      </c>
      <c r="Q154" s="8"/>
      <c r="R154" t="s">
        <v>38</v>
      </c>
      <c r="S15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5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55" spans="1:20">
      <c r="A155" t="s">
        <v>379</v>
      </c>
      <c r="B155" t="s">
        <v>291</v>
      </c>
      <c r="C155" t="s">
        <v>79</v>
      </c>
      <c r="D155" t="s">
        <v>23</v>
      </c>
      <c r="E155" t="s">
        <v>64</v>
      </c>
      <c r="F155" t="s">
        <v>37</v>
      </c>
      <c r="G155" s="5">
        <v>9.8000000000000007</v>
      </c>
      <c r="H155" s="7">
        <v>0.37</v>
      </c>
      <c r="I155" s="5" t="s">
        <v>38</v>
      </c>
      <c r="J155" t="s">
        <v>39</v>
      </c>
      <c r="K155" t="s">
        <v>28</v>
      </c>
      <c r="L155" t="s">
        <v>54</v>
      </c>
      <c r="M155" t="s">
        <v>55</v>
      </c>
      <c r="N155" s="8">
        <v>46249</v>
      </c>
      <c r="O155" s="8">
        <v>46252</v>
      </c>
      <c r="P155" t="s">
        <v>42</v>
      </c>
      <c r="Q155" s="8"/>
      <c r="R155" t="s">
        <v>38</v>
      </c>
      <c r="S15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5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56" spans="1:20">
      <c r="A156" t="s">
        <v>380</v>
      </c>
      <c r="B156" t="s">
        <v>244</v>
      </c>
      <c r="C156" t="s">
        <v>79</v>
      </c>
      <c r="D156" t="s">
        <v>23</v>
      </c>
      <c r="E156" t="s">
        <v>24</v>
      </c>
      <c r="F156" t="s">
        <v>25</v>
      </c>
      <c r="G156" s="5">
        <v>10</v>
      </c>
      <c r="H156" s="7">
        <v>0.36899999999999999</v>
      </c>
      <c r="I156" s="5" t="s">
        <v>26</v>
      </c>
      <c r="J156" t="s">
        <v>110</v>
      </c>
      <c r="K156" t="s">
        <v>60</v>
      </c>
      <c r="L156" t="s">
        <v>48</v>
      </c>
      <c r="M156" t="s">
        <v>132</v>
      </c>
      <c r="N156" s="8">
        <v>46254</v>
      </c>
      <c r="O156" s="8">
        <v>46257</v>
      </c>
      <c r="P156" t="s">
        <v>42</v>
      </c>
      <c r="Q156" s="8"/>
      <c r="R156" t="s">
        <v>38</v>
      </c>
      <c r="S15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15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57" spans="1:20">
      <c r="A157" t="s">
        <v>381</v>
      </c>
      <c r="B157" t="s">
        <v>382</v>
      </c>
      <c r="C157" t="s">
        <v>34</v>
      </c>
      <c r="D157" t="s">
        <v>109</v>
      </c>
      <c r="E157" t="s">
        <v>70</v>
      </c>
      <c r="F157" t="s">
        <v>71</v>
      </c>
      <c r="G157" s="5">
        <v>9.8000000000000007</v>
      </c>
      <c r="H157" s="7">
        <v>0.13400000000000001</v>
      </c>
      <c r="I157" s="5" t="s">
        <v>26</v>
      </c>
      <c r="J157" t="s">
        <v>39</v>
      </c>
      <c r="K157" t="s">
        <v>28</v>
      </c>
      <c r="L157" t="s">
        <v>99</v>
      </c>
      <c r="M157" t="s">
        <v>100</v>
      </c>
      <c r="N157" s="8">
        <v>46260</v>
      </c>
      <c r="O157" s="8">
        <v>46267</v>
      </c>
      <c r="P157" t="s">
        <v>31</v>
      </c>
      <c r="Q157" s="8">
        <v>46288</v>
      </c>
      <c r="R157" t="s">
        <v>38</v>
      </c>
      <c r="S15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5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58" spans="1:20">
      <c r="A158" t="s">
        <v>383</v>
      </c>
      <c r="B158" t="s">
        <v>384</v>
      </c>
      <c r="C158" t="s">
        <v>59</v>
      </c>
      <c r="D158" t="s">
        <v>23</v>
      </c>
      <c r="E158" t="s">
        <v>125</v>
      </c>
      <c r="F158" t="s">
        <v>126</v>
      </c>
      <c r="G158" s="5">
        <v>8.6</v>
      </c>
      <c r="H158" s="7">
        <v>0.36899999999999999</v>
      </c>
      <c r="I158" s="5" t="s">
        <v>38</v>
      </c>
      <c r="J158" t="s">
        <v>39</v>
      </c>
      <c r="K158" t="s">
        <v>28</v>
      </c>
      <c r="L158" t="s">
        <v>54</v>
      </c>
      <c r="M158" t="s">
        <v>55</v>
      </c>
      <c r="N158" s="8">
        <v>46275</v>
      </c>
      <c r="O158" s="8">
        <v>46286</v>
      </c>
      <c r="P158" t="s">
        <v>42</v>
      </c>
      <c r="Q158" s="8"/>
      <c r="R158" t="s">
        <v>38</v>
      </c>
      <c r="S15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5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59" spans="1:20">
      <c r="A159" t="s">
        <v>385</v>
      </c>
      <c r="B159" t="s">
        <v>386</v>
      </c>
      <c r="C159" t="s">
        <v>22</v>
      </c>
      <c r="D159" t="s">
        <v>104</v>
      </c>
      <c r="E159" t="s">
        <v>64</v>
      </c>
      <c r="F159" t="s">
        <v>37</v>
      </c>
      <c r="G159" s="5">
        <v>9.8000000000000007</v>
      </c>
      <c r="H159" s="7">
        <v>0.23100000000000001</v>
      </c>
      <c r="I159" s="5" t="s">
        <v>26</v>
      </c>
      <c r="J159" t="s">
        <v>39</v>
      </c>
      <c r="K159" t="s">
        <v>87</v>
      </c>
      <c r="L159" t="s">
        <v>29</v>
      </c>
      <c r="M159" t="s">
        <v>65</v>
      </c>
      <c r="N159" s="8">
        <v>46252</v>
      </c>
      <c r="O159" s="8">
        <v>46259</v>
      </c>
      <c r="P159" t="s">
        <v>91</v>
      </c>
      <c r="Q159" s="8"/>
      <c r="R159" t="s">
        <v>38</v>
      </c>
      <c r="S15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5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60" spans="1:20">
      <c r="A160" t="s">
        <v>387</v>
      </c>
      <c r="B160" t="s">
        <v>388</v>
      </c>
      <c r="C160" t="s">
        <v>58</v>
      </c>
      <c r="D160" t="s">
        <v>35</v>
      </c>
      <c r="E160" t="s">
        <v>64</v>
      </c>
      <c r="F160" t="s">
        <v>37</v>
      </c>
      <c r="G160" s="5">
        <v>9.8000000000000007</v>
      </c>
      <c r="H160" s="7">
        <v>0.18099999999999999</v>
      </c>
      <c r="I160" s="5" t="s">
        <v>26</v>
      </c>
      <c r="J160" t="s">
        <v>110</v>
      </c>
      <c r="K160" t="s">
        <v>60</v>
      </c>
      <c r="L160" t="s">
        <v>40</v>
      </c>
      <c r="M160" t="s">
        <v>72</v>
      </c>
      <c r="N160" s="8">
        <v>46270</v>
      </c>
      <c r="O160" s="8">
        <v>46277</v>
      </c>
      <c r="P160" t="s">
        <v>101</v>
      </c>
      <c r="Q160" s="8">
        <v>46303</v>
      </c>
      <c r="R160" t="s">
        <v>38</v>
      </c>
      <c r="S16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6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61" spans="1:20">
      <c r="A161" t="s">
        <v>389</v>
      </c>
      <c r="B161" t="s">
        <v>390</v>
      </c>
      <c r="C161" t="s">
        <v>45</v>
      </c>
      <c r="D161" t="s">
        <v>90</v>
      </c>
      <c r="E161" t="s">
        <v>70</v>
      </c>
      <c r="F161" t="s">
        <v>71</v>
      </c>
      <c r="G161" s="5">
        <v>9.8000000000000007</v>
      </c>
      <c r="H161" s="7">
        <v>0.114</v>
      </c>
      <c r="I161" s="5" t="s">
        <v>26</v>
      </c>
      <c r="J161" t="s">
        <v>39</v>
      </c>
      <c r="K161" t="s">
        <v>60</v>
      </c>
      <c r="L161" t="s">
        <v>75</v>
      </c>
      <c r="M161" t="s">
        <v>129</v>
      </c>
      <c r="N161" s="8">
        <v>46251</v>
      </c>
      <c r="O161" s="8">
        <v>46255</v>
      </c>
      <c r="P161" t="s">
        <v>31</v>
      </c>
      <c r="Q161" s="8">
        <v>46268</v>
      </c>
      <c r="R161" t="s">
        <v>38</v>
      </c>
      <c r="S16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6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62" spans="1:20">
      <c r="A162" t="s">
        <v>391</v>
      </c>
      <c r="B162" t="s">
        <v>392</v>
      </c>
      <c r="C162" t="s">
        <v>59</v>
      </c>
      <c r="D162" t="s">
        <v>46</v>
      </c>
      <c r="E162" t="s">
        <v>24</v>
      </c>
      <c r="F162" t="s">
        <v>25</v>
      </c>
      <c r="G162" s="5">
        <v>10</v>
      </c>
      <c r="H162" s="7">
        <v>0.219</v>
      </c>
      <c r="I162" s="5" t="s">
        <v>38</v>
      </c>
      <c r="J162" t="s">
        <v>39</v>
      </c>
      <c r="K162" t="s">
        <v>28</v>
      </c>
      <c r="L162" t="s">
        <v>75</v>
      </c>
      <c r="M162" t="s">
        <v>129</v>
      </c>
      <c r="N162" s="8">
        <v>46272</v>
      </c>
      <c r="O162" s="8">
        <v>46279</v>
      </c>
      <c r="P162" t="s">
        <v>31</v>
      </c>
      <c r="Q162" s="8">
        <v>46275</v>
      </c>
      <c r="R162" t="s">
        <v>38</v>
      </c>
      <c r="S16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6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63" spans="1:20">
      <c r="A163" t="s">
        <v>393</v>
      </c>
      <c r="B163" t="s">
        <v>394</v>
      </c>
      <c r="C163" t="s">
        <v>34</v>
      </c>
      <c r="D163" t="s">
        <v>84</v>
      </c>
      <c r="E163" t="s">
        <v>70</v>
      </c>
      <c r="F163" t="s">
        <v>71</v>
      </c>
      <c r="G163" s="5">
        <v>10</v>
      </c>
      <c r="H163" s="7">
        <v>2.9000000000000001E-2</v>
      </c>
      <c r="I163" s="5" t="s">
        <v>38</v>
      </c>
      <c r="J163" t="s">
        <v>27</v>
      </c>
      <c r="K163" t="s">
        <v>28</v>
      </c>
      <c r="L163" t="s">
        <v>48</v>
      </c>
      <c r="M163" t="s">
        <v>132</v>
      </c>
      <c r="N163" s="8">
        <v>46259</v>
      </c>
      <c r="O163" s="8">
        <v>46266</v>
      </c>
      <c r="P163" t="s">
        <v>50</v>
      </c>
      <c r="Q163" s="8"/>
      <c r="R163" t="s">
        <v>26</v>
      </c>
      <c r="S16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6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64" spans="1:20">
      <c r="A164" t="s">
        <v>395</v>
      </c>
      <c r="B164" t="s">
        <v>396</v>
      </c>
      <c r="C164" t="s">
        <v>45</v>
      </c>
      <c r="D164" t="s">
        <v>63</v>
      </c>
      <c r="E164" t="s">
        <v>142</v>
      </c>
      <c r="F164" t="s">
        <v>71</v>
      </c>
      <c r="G164" s="5">
        <v>8.8000000000000007</v>
      </c>
      <c r="H164" s="7">
        <v>0.36799999999999999</v>
      </c>
      <c r="I164" s="5" t="s">
        <v>38</v>
      </c>
      <c r="J164" t="s">
        <v>110</v>
      </c>
      <c r="K164" t="s">
        <v>28</v>
      </c>
      <c r="L164" t="s">
        <v>40</v>
      </c>
      <c r="M164" t="s">
        <v>72</v>
      </c>
      <c r="N164" s="8">
        <v>46245</v>
      </c>
      <c r="O164" s="8">
        <v>46259</v>
      </c>
      <c r="P164" t="s">
        <v>42</v>
      </c>
      <c r="Q164" s="8"/>
      <c r="R164" t="s">
        <v>38</v>
      </c>
      <c r="S16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6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65" spans="1:20">
      <c r="A165" t="s">
        <v>397</v>
      </c>
      <c r="B165" t="s">
        <v>398</v>
      </c>
      <c r="C165" t="s">
        <v>34</v>
      </c>
      <c r="D165" t="s">
        <v>35</v>
      </c>
      <c r="E165" t="s">
        <v>64</v>
      </c>
      <c r="F165" t="s">
        <v>37</v>
      </c>
      <c r="G165" s="5">
        <v>9.8000000000000007</v>
      </c>
      <c r="H165" s="7">
        <v>0.38100000000000001</v>
      </c>
      <c r="I165" s="5" t="s">
        <v>26</v>
      </c>
      <c r="J165" t="s">
        <v>39</v>
      </c>
      <c r="K165" t="s">
        <v>87</v>
      </c>
      <c r="L165" t="s">
        <v>75</v>
      </c>
      <c r="M165" t="s">
        <v>129</v>
      </c>
      <c r="N165" s="8">
        <v>46272</v>
      </c>
      <c r="O165" s="8">
        <v>46279</v>
      </c>
      <c r="P165" t="s">
        <v>50</v>
      </c>
      <c r="Q165" s="8"/>
      <c r="R165" t="s">
        <v>38</v>
      </c>
      <c r="S16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6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66" spans="1:20">
      <c r="A166" t="s">
        <v>399</v>
      </c>
      <c r="B166" t="s">
        <v>400</v>
      </c>
      <c r="C166" t="s">
        <v>79</v>
      </c>
      <c r="D166" t="s">
        <v>90</v>
      </c>
      <c r="E166" t="s">
        <v>119</v>
      </c>
      <c r="F166" t="s">
        <v>37</v>
      </c>
      <c r="G166" s="5">
        <v>7.8</v>
      </c>
      <c r="H166" s="7">
        <v>0.36699999999999999</v>
      </c>
      <c r="I166" s="5" t="s">
        <v>38</v>
      </c>
      <c r="J166" t="s">
        <v>110</v>
      </c>
      <c r="K166" t="s">
        <v>28</v>
      </c>
      <c r="L166" t="s">
        <v>99</v>
      </c>
      <c r="M166" t="s">
        <v>100</v>
      </c>
      <c r="N166" s="8">
        <v>46259</v>
      </c>
      <c r="O166" s="8">
        <v>46273</v>
      </c>
      <c r="P166" t="s">
        <v>42</v>
      </c>
      <c r="Q166" s="8"/>
      <c r="R166" t="s">
        <v>38</v>
      </c>
      <c r="S16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6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67" spans="1:20">
      <c r="A167" t="s">
        <v>401</v>
      </c>
      <c r="B167" t="s">
        <v>402</v>
      </c>
      <c r="C167" t="s">
        <v>58</v>
      </c>
      <c r="D167" t="s">
        <v>122</v>
      </c>
      <c r="E167" t="s">
        <v>142</v>
      </c>
      <c r="F167" t="s">
        <v>71</v>
      </c>
      <c r="G167" s="5">
        <v>8.8000000000000007</v>
      </c>
      <c r="H167" s="7">
        <v>0.36699999999999999</v>
      </c>
      <c r="I167" s="5" t="s">
        <v>38</v>
      </c>
      <c r="J167" t="s">
        <v>39</v>
      </c>
      <c r="K167" t="s">
        <v>60</v>
      </c>
      <c r="L167" t="s">
        <v>29</v>
      </c>
      <c r="M167" t="s">
        <v>65</v>
      </c>
      <c r="N167" s="8">
        <v>46249</v>
      </c>
      <c r="O167" s="8">
        <v>46263</v>
      </c>
      <c r="P167" t="s">
        <v>42</v>
      </c>
      <c r="Q167" s="8"/>
      <c r="R167" t="s">
        <v>38</v>
      </c>
      <c r="S16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16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68" spans="1:20">
      <c r="A168" t="s">
        <v>403</v>
      </c>
      <c r="B168" t="s">
        <v>384</v>
      </c>
      <c r="C168" t="s">
        <v>59</v>
      </c>
      <c r="D168" t="s">
        <v>109</v>
      </c>
      <c r="E168" t="s">
        <v>201</v>
      </c>
      <c r="F168" t="s">
        <v>202</v>
      </c>
      <c r="G168" s="5">
        <v>9.8000000000000007</v>
      </c>
      <c r="H168" s="7">
        <v>5.5E-2</v>
      </c>
      <c r="I168" s="5" t="s">
        <v>38</v>
      </c>
      <c r="J168" t="s">
        <v>27</v>
      </c>
      <c r="K168" t="s">
        <v>28</v>
      </c>
      <c r="L168" t="s">
        <v>99</v>
      </c>
      <c r="M168" t="s">
        <v>100</v>
      </c>
      <c r="N168" s="8">
        <v>46242</v>
      </c>
      <c r="O168" s="8">
        <v>46249</v>
      </c>
      <c r="P168" t="s">
        <v>31</v>
      </c>
      <c r="Q168" s="8">
        <v>46258</v>
      </c>
      <c r="R168" t="s">
        <v>26</v>
      </c>
      <c r="S16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6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69" spans="1:20">
      <c r="A169" t="s">
        <v>404</v>
      </c>
      <c r="B169" t="s">
        <v>405</v>
      </c>
      <c r="C169" t="s">
        <v>34</v>
      </c>
      <c r="D169" t="s">
        <v>59</v>
      </c>
      <c r="E169" t="s">
        <v>70</v>
      </c>
      <c r="F169" t="s">
        <v>71</v>
      </c>
      <c r="G169" s="5">
        <v>10</v>
      </c>
      <c r="H169" s="7">
        <v>0.183</v>
      </c>
      <c r="I169" s="5" t="s">
        <v>38</v>
      </c>
      <c r="J169" t="s">
        <v>27</v>
      </c>
      <c r="K169" t="s">
        <v>60</v>
      </c>
      <c r="L169" t="s">
        <v>99</v>
      </c>
      <c r="M169" t="s">
        <v>100</v>
      </c>
      <c r="N169" s="8">
        <v>46270</v>
      </c>
      <c r="O169" s="8">
        <v>46274</v>
      </c>
      <c r="P169" t="s">
        <v>31</v>
      </c>
      <c r="Q169" s="8">
        <v>46273</v>
      </c>
      <c r="R169" t="s">
        <v>26</v>
      </c>
      <c r="S16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6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0" spans="1:20">
      <c r="A170" t="s">
        <v>406</v>
      </c>
      <c r="B170" t="s">
        <v>366</v>
      </c>
      <c r="C170" t="s">
        <v>22</v>
      </c>
      <c r="D170" t="s">
        <v>122</v>
      </c>
      <c r="E170" t="s">
        <v>70</v>
      </c>
      <c r="F170" t="s">
        <v>71</v>
      </c>
      <c r="G170" s="5">
        <v>9.8000000000000007</v>
      </c>
      <c r="H170" s="7">
        <v>0.17100000000000001</v>
      </c>
      <c r="I170" s="5" t="s">
        <v>38</v>
      </c>
      <c r="J170" t="s">
        <v>27</v>
      </c>
      <c r="K170" t="s">
        <v>28</v>
      </c>
      <c r="L170" t="s">
        <v>29</v>
      </c>
      <c r="M170" t="s">
        <v>30</v>
      </c>
      <c r="N170" s="8">
        <v>46252</v>
      </c>
      <c r="O170" s="8">
        <v>46259</v>
      </c>
      <c r="P170" t="s">
        <v>31</v>
      </c>
      <c r="Q170" s="8">
        <v>46281</v>
      </c>
      <c r="R170" t="s">
        <v>26</v>
      </c>
      <c r="S17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1" spans="1:20">
      <c r="A171" t="s">
        <v>407</v>
      </c>
      <c r="B171" t="s">
        <v>408</v>
      </c>
      <c r="C171" t="s">
        <v>59</v>
      </c>
      <c r="D171" t="s">
        <v>113</v>
      </c>
      <c r="E171" t="s">
        <v>64</v>
      </c>
      <c r="F171" t="s">
        <v>37</v>
      </c>
      <c r="G171" s="5">
        <v>9.8000000000000007</v>
      </c>
      <c r="H171" s="7">
        <v>0.36199999999999999</v>
      </c>
      <c r="I171" s="5" t="s">
        <v>38</v>
      </c>
      <c r="J171" t="s">
        <v>27</v>
      </c>
      <c r="K171" t="s">
        <v>60</v>
      </c>
      <c r="L171" t="s">
        <v>48</v>
      </c>
      <c r="M171" t="s">
        <v>49</v>
      </c>
      <c r="N171" s="8">
        <v>46236</v>
      </c>
      <c r="O171" s="8">
        <v>46243</v>
      </c>
      <c r="P171" t="s">
        <v>42</v>
      </c>
      <c r="Q171" s="8"/>
      <c r="R171" t="s">
        <v>26</v>
      </c>
      <c r="S17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72" spans="1:20">
      <c r="A172" t="s">
        <v>409</v>
      </c>
      <c r="B172" t="s">
        <v>410</v>
      </c>
      <c r="C172" t="s">
        <v>58</v>
      </c>
      <c r="D172" t="s">
        <v>122</v>
      </c>
      <c r="E172" t="s">
        <v>47</v>
      </c>
      <c r="F172" t="s">
        <v>37</v>
      </c>
      <c r="G172" s="5">
        <v>10</v>
      </c>
      <c r="H172" s="7">
        <v>1.7999999999999999E-2</v>
      </c>
      <c r="I172" s="5" t="s">
        <v>26</v>
      </c>
      <c r="J172" t="s">
        <v>39</v>
      </c>
      <c r="K172" t="s">
        <v>60</v>
      </c>
      <c r="L172" t="s">
        <v>40</v>
      </c>
      <c r="M172" t="s">
        <v>41</v>
      </c>
      <c r="N172" s="8">
        <v>46264</v>
      </c>
      <c r="O172" s="8">
        <v>46271</v>
      </c>
      <c r="P172" t="s">
        <v>91</v>
      </c>
      <c r="Q172" s="8"/>
      <c r="R172" t="s">
        <v>38</v>
      </c>
      <c r="S17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3" spans="1:20">
      <c r="A173" t="s">
        <v>411</v>
      </c>
      <c r="B173" t="s">
        <v>228</v>
      </c>
      <c r="C173" t="s">
        <v>34</v>
      </c>
      <c r="D173" t="s">
        <v>63</v>
      </c>
      <c r="E173" t="s">
        <v>70</v>
      </c>
      <c r="F173" t="s">
        <v>71</v>
      </c>
      <c r="G173" s="5">
        <v>10</v>
      </c>
      <c r="H173" s="7">
        <v>0.24099999999999999</v>
      </c>
      <c r="I173" s="5" t="s">
        <v>38</v>
      </c>
      <c r="J173" t="s">
        <v>27</v>
      </c>
      <c r="K173" t="s">
        <v>87</v>
      </c>
      <c r="L173" t="s">
        <v>75</v>
      </c>
      <c r="M173" t="s">
        <v>129</v>
      </c>
      <c r="N173" s="8">
        <v>46271</v>
      </c>
      <c r="O173" s="8">
        <v>46278</v>
      </c>
      <c r="P173" t="s">
        <v>31</v>
      </c>
      <c r="Q173" s="8">
        <v>46293</v>
      </c>
      <c r="R173" t="s">
        <v>26</v>
      </c>
      <c r="S17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4" spans="1:20">
      <c r="A174" t="s">
        <v>412</v>
      </c>
      <c r="B174" t="s">
        <v>305</v>
      </c>
      <c r="C174" t="s">
        <v>45</v>
      </c>
      <c r="D174" t="s">
        <v>46</v>
      </c>
      <c r="E174" t="s">
        <v>116</v>
      </c>
      <c r="F174" t="s">
        <v>37</v>
      </c>
      <c r="G174" s="5">
        <v>8.1</v>
      </c>
      <c r="H174" s="7">
        <v>0.35799999999999998</v>
      </c>
      <c r="I174" s="5" t="s">
        <v>26</v>
      </c>
      <c r="J174" t="s">
        <v>110</v>
      </c>
      <c r="K174" t="s">
        <v>28</v>
      </c>
      <c r="L174" t="s">
        <v>75</v>
      </c>
      <c r="M174" t="s">
        <v>76</v>
      </c>
      <c r="N174" s="8">
        <v>46251</v>
      </c>
      <c r="O174" s="8">
        <v>46265</v>
      </c>
      <c r="P174" t="s">
        <v>42</v>
      </c>
      <c r="Q174" s="8"/>
      <c r="R174" t="s">
        <v>38</v>
      </c>
      <c r="S17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75" spans="1:20">
      <c r="A175" t="s">
        <v>413</v>
      </c>
      <c r="B175" t="s">
        <v>414</v>
      </c>
      <c r="C175" t="s">
        <v>79</v>
      </c>
      <c r="D175" t="s">
        <v>104</v>
      </c>
      <c r="E175" t="s">
        <v>36</v>
      </c>
      <c r="F175" t="s">
        <v>37</v>
      </c>
      <c r="G175" s="5">
        <v>9.8000000000000007</v>
      </c>
      <c r="H175" s="7">
        <v>0.35799999999999998</v>
      </c>
      <c r="I175" s="5" t="s">
        <v>38</v>
      </c>
      <c r="J175" t="s">
        <v>39</v>
      </c>
      <c r="K175" t="s">
        <v>28</v>
      </c>
      <c r="L175" t="s">
        <v>99</v>
      </c>
      <c r="M175" t="s">
        <v>100</v>
      </c>
      <c r="N175" s="8">
        <v>46241</v>
      </c>
      <c r="O175" s="8">
        <v>46245</v>
      </c>
      <c r="P175" t="s">
        <v>42</v>
      </c>
      <c r="Q175" s="8"/>
      <c r="R175" t="s">
        <v>38</v>
      </c>
      <c r="S17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7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76" spans="1:20">
      <c r="A176" t="s">
        <v>415</v>
      </c>
      <c r="B176" t="s">
        <v>416</v>
      </c>
      <c r="C176" t="s">
        <v>58</v>
      </c>
      <c r="D176" t="s">
        <v>90</v>
      </c>
      <c r="E176" t="s">
        <v>24</v>
      </c>
      <c r="F176" t="s">
        <v>25</v>
      </c>
      <c r="G176" s="5">
        <v>10</v>
      </c>
      <c r="H176" s="7">
        <v>0.10100000000000001</v>
      </c>
      <c r="I176" s="5" t="s">
        <v>26</v>
      </c>
      <c r="J176" t="s">
        <v>39</v>
      </c>
      <c r="K176" t="s">
        <v>87</v>
      </c>
      <c r="L176" t="s">
        <v>40</v>
      </c>
      <c r="M176" t="s">
        <v>72</v>
      </c>
      <c r="N176" s="8">
        <v>46259</v>
      </c>
      <c r="O176" s="8">
        <v>46266</v>
      </c>
      <c r="P176" t="s">
        <v>101</v>
      </c>
      <c r="Q176" s="8">
        <v>46284</v>
      </c>
      <c r="R176" t="s">
        <v>38</v>
      </c>
      <c r="S17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7" spans="1:20">
      <c r="A177" t="s">
        <v>417</v>
      </c>
      <c r="B177" t="s">
        <v>263</v>
      </c>
      <c r="C177" t="s">
        <v>79</v>
      </c>
      <c r="D177" t="s">
        <v>113</v>
      </c>
      <c r="E177" t="s">
        <v>116</v>
      </c>
      <c r="F177" t="s">
        <v>37</v>
      </c>
      <c r="G177" s="5">
        <v>8.1</v>
      </c>
      <c r="H177" s="7">
        <v>0.218</v>
      </c>
      <c r="I177" s="5" t="s">
        <v>26</v>
      </c>
      <c r="J177" t="s">
        <v>39</v>
      </c>
      <c r="K177" t="s">
        <v>28</v>
      </c>
      <c r="L177" t="s">
        <v>40</v>
      </c>
      <c r="M177" t="s">
        <v>72</v>
      </c>
      <c r="N177" s="8">
        <v>46264</v>
      </c>
      <c r="O177" s="8">
        <v>46278</v>
      </c>
      <c r="P177" t="s">
        <v>101</v>
      </c>
      <c r="Q177" s="8">
        <v>46296</v>
      </c>
      <c r="R177" t="s">
        <v>38</v>
      </c>
      <c r="S17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8" spans="1:20">
      <c r="A178" t="s">
        <v>418</v>
      </c>
      <c r="B178" t="s">
        <v>419</v>
      </c>
      <c r="C178" t="s">
        <v>59</v>
      </c>
      <c r="D178" t="s">
        <v>113</v>
      </c>
      <c r="E178" t="s">
        <v>116</v>
      </c>
      <c r="F178" t="s">
        <v>37</v>
      </c>
      <c r="G178" s="5">
        <v>8.1</v>
      </c>
      <c r="H178" s="7">
        <v>0.37</v>
      </c>
      <c r="I178" s="5" t="s">
        <v>26</v>
      </c>
      <c r="J178" t="s">
        <v>39</v>
      </c>
      <c r="K178" t="s">
        <v>28</v>
      </c>
      <c r="L178" t="s">
        <v>54</v>
      </c>
      <c r="M178" t="s">
        <v>55</v>
      </c>
      <c r="N178" s="8">
        <v>46263</v>
      </c>
      <c r="O178" s="8">
        <v>46277</v>
      </c>
      <c r="P178" t="s">
        <v>91</v>
      </c>
      <c r="Q178" s="8"/>
      <c r="R178" t="s">
        <v>38</v>
      </c>
      <c r="S17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7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79" spans="1:20">
      <c r="A179" t="s">
        <v>420</v>
      </c>
      <c r="B179" t="s">
        <v>421</v>
      </c>
      <c r="C179" t="s">
        <v>34</v>
      </c>
      <c r="D179" t="s">
        <v>23</v>
      </c>
      <c r="E179" t="s">
        <v>125</v>
      </c>
      <c r="F179" t="s">
        <v>126</v>
      </c>
      <c r="G179" s="5">
        <v>8.6</v>
      </c>
      <c r="H179" s="7">
        <v>0.35799999999999998</v>
      </c>
      <c r="I179" s="5" t="s">
        <v>38</v>
      </c>
      <c r="J179" t="s">
        <v>27</v>
      </c>
      <c r="K179" t="s">
        <v>87</v>
      </c>
      <c r="L179" t="s">
        <v>29</v>
      </c>
      <c r="M179" t="s">
        <v>30</v>
      </c>
      <c r="N179" s="8">
        <v>46271</v>
      </c>
      <c r="O179" s="8">
        <v>46285</v>
      </c>
      <c r="P179" t="s">
        <v>42</v>
      </c>
      <c r="Q179" s="8"/>
      <c r="R179" t="s">
        <v>26</v>
      </c>
      <c r="S17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7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80" spans="1:20">
      <c r="A180" t="s">
        <v>422</v>
      </c>
      <c r="B180" t="s">
        <v>423</v>
      </c>
      <c r="C180" t="s">
        <v>22</v>
      </c>
      <c r="D180" t="s">
        <v>113</v>
      </c>
      <c r="E180" t="s">
        <v>70</v>
      </c>
      <c r="F180" t="s">
        <v>71</v>
      </c>
      <c r="G180" s="5">
        <v>9.8000000000000007</v>
      </c>
      <c r="H180" s="7">
        <v>0.317</v>
      </c>
      <c r="I180" s="5" t="s">
        <v>38</v>
      </c>
      <c r="J180" t="s">
        <v>27</v>
      </c>
      <c r="K180" t="s">
        <v>60</v>
      </c>
      <c r="L180" t="s">
        <v>40</v>
      </c>
      <c r="M180" t="s">
        <v>41</v>
      </c>
      <c r="N180" s="8">
        <v>46237</v>
      </c>
      <c r="O180" s="8">
        <v>46242</v>
      </c>
      <c r="P180" t="s">
        <v>31</v>
      </c>
      <c r="Q180" s="8">
        <v>46262</v>
      </c>
      <c r="R180" t="s">
        <v>26</v>
      </c>
      <c r="S18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8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81" spans="1:20">
      <c r="A181" t="s">
        <v>424</v>
      </c>
      <c r="B181" t="s">
        <v>425</v>
      </c>
      <c r="C181" t="s">
        <v>79</v>
      </c>
      <c r="D181" t="s">
        <v>59</v>
      </c>
      <c r="E181" t="s">
        <v>119</v>
      </c>
      <c r="F181" t="s">
        <v>37</v>
      </c>
      <c r="G181" s="5">
        <v>8</v>
      </c>
      <c r="H181" s="7">
        <v>0.35799999999999998</v>
      </c>
      <c r="I181" s="5" t="s">
        <v>38</v>
      </c>
      <c r="J181" t="s">
        <v>27</v>
      </c>
      <c r="K181" t="s">
        <v>87</v>
      </c>
      <c r="L181" t="s">
        <v>40</v>
      </c>
      <c r="M181" t="s">
        <v>72</v>
      </c>
      <c r="N181" s="8">
        <v>46273</v>
      </c>
      <c r="O181" s="8">
        <v>46286</v>
      </c>
      <c r="P181" t="s">
        <v>42</v>
      </c>
      <c r="Q181" s="8"/>
      <c r="R181" t="s">
        <v>26</v>
      </c>
      <c r="S18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8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82" spans="1:20">
      <c r="A182" t="s">
        <v>426</v>
      </c>
      <c r="B182" t="s">
        <v>427</v>
      </c>
      <c r="C182" t="s">
        <v>59</v>
      </c>
      <c r="D182" t="s">
        <v>59</v>
      </c>
      <c r="E182" t="s">
        <v>70</v>
      </c>
      <c r="F182" t="s">
        <v>71</v>
      </c>
      <c r="G182" s="5">
        <v>9.8000000000000007</v>
      </c>
      <c r="H182" s="7">
        <v>0.45600000000000002</v>
      </c>
      <c r="I182" s="5" t="s">
        <v>38</v>
      </c>
      <c r="J182" t="s">
        <v>27</v>
      </c>
      <c r="K182" t="s">
        <v>60</v>
      </c>
      <c r="L182" t="s">
        <v>99</v>
      </c>
      <c r="M182" t="s">
        <v>100</v>
      </c>
      <c r="N182" s="8">
        <v>46260</v>
      </c>
      <c r="O182" s="8">
        <v>46267</v>
      </c>
      <c r="P182" t="s">
        <v>101</v>
      </c>
      <c r="Q182" s="8">
        <v>46282</v>
      </c>
      <c r="R182" t="s">
        <v>26</v>
      </c>
      <c r="S18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8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83" spans="1:20">
      <c r="A183" t="s">
        <v>428</v>
      </c>
      <c r="B183" t="s">
        <v>429</v>
      </c>
      <c r="C183" t="s">
        <v>58</v>
      </c>
      <c r="D183" t="s">
        <v>109</v>
      </c>
      <c r="E183" t="s">
        <v>119</v>
      </c>
      <c r="F183" t="s">
        <v>37</v>
      </c>
      <c r="G183" s="5">
        <v>7.8</v>
      </c>
      <c r="H183" s="7">
        <v>0.35599999999999998</v>
      </c>
      <c r="I183" s="5" t="s">
        <v>38</v>
      </c>
      <c r="J183" t="s">
        <v>39</v>
      </c>
      <c r="K183" t="s">
        <v>60</v>
      </c>
      <c r="L183" t="s">
        <v>75</v>
      </c>
      <c r="M183" t="s">
        <v>129</v>
      </c>
      <c r="N183" s="8">
        <v>46254</v>
      </c>
      <c r="O183" s="8">
        <v>46268</v>
      </c>
      <c r="P183" t="s">
        <v>42</v>
      </c>
      <c r="Q183" s="8"/>
      <c r="R183" t="s">
        <v>38</v>
      </c>
      <c r="S18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18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84" spans="1:20">
      <c r="A184" t="s">
        <v>430</v>
      </c>
      <c r="B184" t="s">
        <v>431</v>
      </c>
      <c r="C184" t="s">
        <v>34</v>
      </c>
      <c r="D184" t="s">
        <v>84</v>
      </c>
      <c r="E184" t="s">
        <v>201</v>
      </c>
      <c r="F184" t="s">
        <v>202</v>
      </c>
      <c r="G184" s="5">
        <v>9.8000000000000007</v>
      </c>
      <c r="H184" s="7">
        <v>0.79900000000000004</v>
      </c>
      <c r="I184" s="5" t="s">
        <v>38</v>
      </c>
      <c r="J184" t="s">
        <v>39</v>
      </c>
      <c r="K184" t="s">
        <v>28</v>
      </c>
      <c r="L184" t="s">
        <v>29</v>
      </c>
      <c r="M184" t="s">
        <v>65</v>
      </c>
      <c r="N184" s="8">
        <v>46260</v>
      </c>
      <c r="O184" s="8">
        <v>46267</v>
      </c>
      <c r="P184" t="s">
        <v>31</v>
      </c>
      <c r="Q184" s="8">
        <v>46265</v>
      </c>
      <c r="R184" t="s">
        <v>38</v>
      </c>
      <c r="S18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8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85" spans="1:20">
      <c r="A185" t="s">
        <v>432</v>
      </c>
      <c r="B185" t="s">
        <v>433</v>
      </c>
      <c r="C185" t="s">
        <v>79</v>
      </c>
      <c r="D185" t="s">
        <v>59</v>
      </c>
      <c r="E185" t="s">
        <v>24</v>
      </c>
      <c r="F185" t="s">
        <v>25</v>
      </c>
      <c r="G185" s="5">
        <v>10</v>
      </c>
      <c r="H185" s="7">
        <v>6.9000000000000006E-2</v>
      </c>
      <c r="I185" s="5" t="s">
        <v>26</v>
      </c>
      <c r="J185" t="s">
        <v>39</v>
      </c>
      <c r="K185" t="s">
        <v>87</v>
      </c>
      <c r="L185" t="s">
        <v>54</v>
      </c>
      <c r="M185" t="s">
        <v>55</v>
      </c>
      <c r="N185" s="8">
        <v>46269</v>
      </c>
      <c r="O185" s="8">
        <v>46276</v>
      </c>
      <c r="P185" t="s">
        <v>101</v>
      </c>
      <c r="Q185" s="8">
        <v>46301</v>
      </c>
      <c r="R185" t="s">
        <v>38</v>
      </c>
      <c r="S18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8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86" spans="1:20">
      <c r="A186" t="s">
        <v>434</v>
      </c>
      <c r="B186" t="s">
        <v>435</v>
      </c>
      <c r="C186" t="s">
        <v>45</v>
      </c>
      <c r="D186" t="s">
        <v>35</v>
      </c>
      <c r="E186" t="s">
        <v>146</v>
      </c>
      <c r="F186" t="s">
        <v>147</v>
      </c>
      <c r="G186" s="5">
        <v>7.5</v>
      </c>
      <c r="H186" s="7">
        <v>0.35399999999999998</v>
      </c>
      <c r="I186" s="5" t="s">
        <v>38</v>
      </c>
      <c r="J186" t="s">
        <v>27</v>
      </c>
      <c r="K186" t="s">
        <v>60</v>
      </c>
      <c r="L186" t="s">
        <v>54</v>
      </c>
      <c r="M186" t="s">
        <v>55</v>
      </c>
      <c r="N186" s="8">
        <v>46251</v>
      </c>
      <c r="O186" s="8">
        <v>46265</v>
      </c>
      <c r="P186" t="s">
        <v>42</v>
      </c>
      <c r="Q186" s="8"/>
      <c r="R186" t="s">
        <v>26</v>
      </c>
      <c r="S18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8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87" spans="1:20">
      <c r="A187" t="s">
        <v>436</v>
      </c>
      <c r="B187" t="s">
        <v>437</v>
      </c>
      <c r="C187" t="s">
        <v>45</v>
      </c>
      <c r="D187" t="s">
        <v>53</v>
      </c>
      <c r="E187" t="s">
        <v>119</v>
      </c>
      <c r="F187" t="s">
        <v>37</v>
      </c>
      <c r="G187" s="5">
        <v>8</v>
      </c>
      <c r="H187" s="7">
        <v>0.72199999999999998</v>
      </c>
      <c r="I187" s="5" t="s">
        <v>38</v>
      </c>
      <c r="J187" t="s">
        <v>27</v>
      </c>
      <c r="K187" t="s">
        <v>28</v>
      </c>
      <c r="L187" t="s">
        <v>54</v>
      </c>
      <c r="M187" t="s">
        <v>55</v>
      </c>
      <c r="N187" s="8">
        <v>46266</v>
      </c>
      <c r="O187" s="8">
        <v>46280</v>
      </c>
      <c r="P187" t="s">
        <v>50</v>
      </c>
      <c r="Q187" s="8"/>
      <c r="R187" t="s">
        <v>26</v>
      </c>
      <c r="S18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8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88" spans="1:20">
      <c r="A188" t="s">
        <v>438</v>
      </c>
      <c r="B188" t="s">
        <v>439</v>
      </c>
      <c r="C188" t="s">
        <v>34</v>
      </c>
      <c r="D188" t="s">
        <v>46</v>
      </c>
      <c r="E188" t="s">
        <v>116</v>
      </c>
      <c r="F188" t="s">
        <v>37</v>
      </c>
      <c r="G188" s="5">
        <v>8.1</v>
      </c>
      <c r="H188" s="7">
        <v>0.42299999999999999</v>
      </c>
      <c r="I188" s="5" t="s">
        <v>26</v>
      </c>
      <c r="J188" t="s">
        <v>39</v>
      </c>
      <c r="K188" t="s">
        <v>28</v>
      </c>
      <c r="L188" t="s">
        <v>54</v>
      </c>
      <c r="M188" t="s">
        <v>55</v>
      </c>
      <c r="N188" s="8">
        <v>46236</v>
      </c>
      <c r="O188" s="8">
        <v>46250</v>
      </c>
      <c r="P188" t="s">
        <v>101</v>
      </c>
      <c r="Q188" s="8">
        <v>46252</v>
      </c>
      <c r="R188" t="s">
        <v>38</v>
      </c>
      <c r="S18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8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89" spans="1:20">
      <c r="A189" t="s">
        <v>440</v>
      </c>
      <c r="B189" t="s">
        <v>441</v>
      </c>
      <c r="C189" t="s">
        <v>58</v>
      </c>
      <c r="D189" t="s">
        <v>59</v>
      </c>
      <c r="E189" t="s">
        <v>116</v>
      </c>
      <c r="F189" t="s">
        <v>37</v>
      </c>
      <c r="G189" s="5">
        <v>8.1</v>
      </c>
      <c r="H189" s="7">
        <v>0.47799999999999998</v>
      </c>
      <c r="I189" s="5" t="s">
        <v>26</v>
      </c>
      <c r="J189" t="s">
        <v>110</v>
      </c>
      <c r="K189" t="s">
        <v>28</v>
      </c>
      <c r="L189" t="s">
        <v>48</v>
      </c>
      <c r="M189" t="s">
        <v>49</v>
      </c>
      <c r="N189" s="8">
        <v>46243</v>
      </c>
      <c r="O189" s="8">
        <v>46257</v>
      </c>
      <c r="P189" t="s">
        <v>50</v>
      </c>
      <c r="Q189" s="8"/>
      <c r="R189" t="s">
        <v>38</v>
      </c>
      <c r="S18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8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90" spans="1:20">
      <c r="A190" t="s">
        <v>442</v>
      </c>
      <c r="B190" t="s">
        <v>443</v>
      </c>
      <c r="C190" t="s">
        <v>59</v>
      </c>
      <c r="D190" t="s">
        <v>104</v>
      </c>
      <c r="E190" t="s">
        <v>36</v>
      </c>
      <c r="F190" t="s">
        <v>37</v>
      </c>
      <c r="G190" s="5">
        <v>9.8000000000000007</v>
      </c>
      <c r="H190" s="7">
        <v>0.35099999999999998</v>
      </c>
      <c r="I190" s="5" t="s">
        <v>38</v>
      </c>
      <c r="J190" t="s">
        <v>39</v>
      </c>
      <c r="K190" t="s">
        <v>87</v>
      </c>
      <c r="L190" t="s">
        <v>54</v>
      </c>
      <c r="M190" t="s">
        <v>55</v>
      </c>
      <c r="N190" s="8">
        <v>46271</v>
      </c>
      <c r="O190" s="8">
        <v>46278</v>
      </c>
      <c r="P190" t="s">
        <v>42</v>
      </c>
      <c r="Q190" s="8"/>
      <c r="R190" t="s">
        <v>38</v>
      </c>
      <c r="S19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19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91" spans="1:20">
      <c r="A191" t="s">
        <v>444</v>
      </c>
      <c r="B191" t="s">
        <v>445</v>
      </c>
      <c r="C191" t="s">
        <v>34</v>
      </c>
      <c r="D191" t="s">
        <v>122</v>
      </c>
      <c r="E191" t="s">
        <v>201</v>
      </c>
      <c r="F191" t="s">
        <v>202</v>
      </c>
      <c r="G191" s="5">
        <v>9.8000000000000007</v>
      </c>
      <c r="H191" s="7">
        <v>0.65900000000000003</v>
      </c>
      <c r="I191" s="5" t="s">
        <v>38</v>
      </c>
      <c r="J191" t="s">
        <v>39</v>
      </c>
      <c r="K191" t="s">
        <v>28</v>
      </c>
      <c r="L191" t="s">
        <v>99</v>
      </c>
      <c r="M191" t="s">
        <v>100</v>
      </c>
      <c r="N191" s="8">
        <v>46259</v>
      </c>
      <c r="O191" s="8">
        <v>46266</v>
      </c>
      <c r="P191" t="s">
        <v>50</v>
      </c>
      <c r="Q191" s="8"/>
      <c r="R191" t="s">
        <v>38</v>
      </c>
      <c r="S19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9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92" spans="1:20">
      <c r="A192" t="s">
        <v>446</v>
      </c>
      <c r="B192" t="s">
        <v>447</v>
      </c>
      <c r="C192" t="s">
        <v>22</v>
      </c>
      <c r="D192" t="s">
        <v>35</v>
      </c>
      <c r="E192" t="s">
        <v>70</v>
      </c>
      <c r="F192" t="s">
        <v>71</v>
      </c>
      <c r="G192" s="5">
        <v>9.8000000000000007</v>
      </c>
      <c r="H192" s="7">
        <v>0.34399999999999997</v>
      </c>
      <c r="I192" s="5" t="s">
        <v>26</v>
      </c>
      <c r="J192" t="s">
        <v>39</v>
      </c>
      <c r="K192" t="s">
        <v>60</v>
      </c>
      <c r="L192" t="s">
        <v>29</v>
      </c>
      <c r="M192" t="s">
        <v>65</v>
      </c>
      <c r="N192" s="8">
        <v>46246</v>
      </c>
      <c r="O192" s="8">
        <v>46253</v>
      </c>
      <c r="P192" t="s">
        <v>42</v>
      </c>
      <c r="Q192" s="8"/>
      <c r="R192" t="s">
        <v>38</v>
      </c>
      <c r="S19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19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193" spans="1:20">
      <c r="A193" t="s">
        <v>448</v>
      </c>
      <c r="B193" t="s">
        <v>416</v>
      </c>
      <c r="C193" t="s">
        <v>58</v>
      </c>
      <c r="D193" t="s">
        <v>23</v>
      </c>
      <c r="E193" t="s">
        <v>116</v>
      </c>
      <c r="F193" t="s">
        <v>37</v>
      </c>
      <c r="G193" s="5">
        <v>8.5</v>
      </c>
      <c r="H193" s="7">
        <v>1.9E-2</v>
      </c>
      <c r="I193" s="5" t="s">
        <v>26</v>
      </c>
      <c r="J193" t="s">
        <v>27</v>
      </c>
      <c r="K193" t="s">
        <v>28</v>
      </c>
      <c r="L193" t="s">
        <v>40</v>
      </c>
      <c r="M193" t="s">
        <v>41</v>
      </c>
      <c r="N193" s="8">
        <v>46258</v>
      </c>
      <c r="O193" s="8">
        <v>46272</v>
      </c>
      <c r="P193" t="s">
        <v>101</v>
      </c>
      <c r="Q193" s="8">
        <v>46292</v>
      </c>
      <c r="R193" t="s">
        <v>26</v>
      </c>
      <c r="S19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9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94" spans="1:20">
      <c r="A194" t="s">
        <v>449</v>
      </c>
      <c r="B194" t="s">
        <v>450</v>
      </c>
      <c r="C194" t="s">
        <v>22</v>
      </c>
      <c r="D194" t="s">
        <v>109</v>
      </c>
      <c r="E194" t="s">
        <v>125</v>
      </c>
      <c r="F194" t="s">
        <v>126</v>
      </c>
      <c r="G194" s="5">
        <v>9</v>
      </c>
      <c r="H194" s="7">
        <v>0.26200000000000001</v>
      </c>
      <c r="I194" s="5" t="s">
        <v>38</v>
      </c>
      <c r="J194" t="s">
        <v>27</v>
      </c>
      <c r="K194" t="s">
        <v>28</v>
      </c>
      <c r="L194" t="s">
        <v>40</v>
      </c>
      <c r="M194" t="s">
        <v>41</v>
      </c>
      <c r="N194" s="8">
        <v>46261</v>
      </c>
      <c r="O194" s="8">
        <v>46268</v>
      </c>
      <c r="P194" t="s">
        <v>50</v>
      </c>
      <c r="Q194" s="8"/>
      <c r="R194" t="s">
        <v>26</v>
      </c>
      <c r="S19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9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95" spans="1:20">
      <c r="A195" t="s">
        <v>451</v>
      </c>
      <c r="B195" t="s">
        <v>325</v>
      </c>
      <c r="C195" t="s">
        <v>45</v>
      </c>
      <c r="D195" t="s">
        <v>23</v>
      </c>
      <c r="E195" t="s">
        <v>24</v>
      </c>
      <c r="F195" t="s">
        <v>25</v>
      </c>
      <c r="G195" s="5">
        <v>10</v>
      </c>
      <c r="H195" s="7">
        <v>0.33900000000000002</v>
      </c>
      <c r="I195" s="5" t="s">
        <v>38</v>
      </c>
      <c r="J195" t="s">
        <v>110</v>
      </c>
      <c r="K195" t="s">
        <v>60</v>
      </c>
      <c r="L195" t="s">
        <v>75</v>
      </c>
      <c r="M195" t="s">
        <v>76</v>
      </c>
      <c r="N195" s="8">
        <v>46266</v>
      </c>
      <c r="O195" s="8">
        <v>46272</v>
      </c>
      <c r="P195" t="s">
        <v>42</v>
      </c>
      <c r="Q195" s="8"/>
      <c r="R195" t="s">
        <v>38</v>
      </c>
      <c r="S19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19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96" spans="1:20">
      <c r="A196" t="s">
        <v>452</v>
      </c>
      <c r="B196" t="s">
        <v>307</v>
      </c>
      <c r="C196" t="s">
        <v>79</v>
      </c>
      <c r="D196" t="s">
        <v>23</v>
      </c>
      <c r="E196" t="s">
        <v>201</v>
      </c>
      <c r="F196" t="s">
        <v>202</v>
      </c>
      <c r="G196" s="5">
        <v>9.8000000000000007</v>
      </c>
      <c r="H196" s="7">
        <v>0.71899999999999997</v>
      </c>
      <c r="I196" s="5" t="s">
        <v>38</v>
      </c>
      <c r="J196" t="s">
        <v>110</v>
      </c>
      <c r="K196" t="s">
        <v>28</v>
      </c>
      <c r="L196" t="s">
        <v>80</v>
      </c>
      <c r="M196" t="s">
        <v>96</v>
      </c>
      <c r="N196" s="8">
        <v>46274</v>
      </c>
      <c r="O196" s="8">
        <v>46279</v>
      </c>
      <c r="P196" t="s">
        <v>101</v>
      </c>
      <c r="Q196" s="8">
        <v>46306</v>
      </c>
      <c r="R196" t="s">
        <v>38</v>
      </c>
      <c r="S19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9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197" spans="1:20">
      <c r="A197" t="s">
        <v>453</v>
      </c>
      <c r="B197" t="s">
        <v>454</v>
      </c>
      <c r="C197" t="s">
        <v>79</v>
      </c>
      <c r="D197" t="s">
        <v>122</v>
      </c>
      <c r="E197" t="s">
        <v>142</v>
      </c>
      <c r="F197" t="s">
        <v>71</v>
      </c>
      <c r="G197" s="5">
        <v>8.8000000000000007</v>
      </c>
      <c r="H197" s="7">
        <v>0.33900000000000002</v>
      </c>
      <c r="I197" s="5" t="s">
        <v>38</v>
      </c>
      <c r="J197" t="s">
        <v>39</v>
      </c>
      <c r="K197" t="s">
        <v>60</v>
      </c>
      <c r="L197" t="s">
        <v>54</v>
      </c>
      <c r="M197" t="s">
        <v>55</v>
      </c>
      <c r="N197" s="8">
        <v>46254</v>
      </c>
      <c r="O197" s="8">
        <v>46268</v>
      </c>
      <c r="P197" t="s">
        <v>42</v>
      </c>
      <c r="Q197" s="8"/>
      <c r="R197" t="s">
        <v>38</v>
      </c>
      <c r="S19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19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198" spans="1:20">
      <c r="A198" t="s">
        <v>455</v>
      </c>
      <c r="B198" t="s">
        <v>230</v>
      </c>
      <c r="C198" t="s">
        <v>45</v>
      </c>
      <c r="D198" t="s">
        <v>46</v>
      </c>
      <c r="E198" t="s">
        <v>119</v>
      </c>
      <c r="F198" t="s">
        <v>37</v>
      </c>
      <c r="G198" s="5">
        <v>7.8</v>
      </c>
      <c r="H198" s="7">
        <v>0.33700000000000002</v>
      </c>
      <c r="I198" s="5" t="s">
        <v>38</v>
      </c>
      <c r="J198" t="s">
        <v>27</v>
      </c>
      <c r="K198" t="s">
        <v>60</v>
      </c>
      <c r="L198" t="s">
        <v>48</v>
      </c>
      <c r="M198" t="s">
        <v>132</v>
      </c>
      <c r="N198" s="8">
        <v>46256</v>
      </c>
      <c r="O198" s="8">
        <v>46270</v>
      </c>
      <c r="P198" t="s">
        <v>42</v>
      </c>
      <c r="Q198" s="8"/>
      <c r="R198" t="s">
        <v>26</v>
      </c>
      <c r="S19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19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199" spans="1:20">
      <c r="A199" t="s">
        <v>456</v>
      </c>
      <c r="B199" t="s">
        <v>457</v>
      </c>
      <c r="C199" t="s">
        <v>79</v>
      </c>
      <c r="D199" t="s">
        <v>113</v>
      </c>
      <c r="E199" t="s">
        <v>24</v>
      </c>
      <c r="F199" t="s">
        <v>25</v>
      </c>
      <c r="G199" s="5">
        <v>10</v>
      </c>
      <c r="H199" s="7">
        <v>0.09</v>
      </c>
      <c r="I199" s="5" t="s">
        <v>26</v>
      </c>
      <c r="J199" t="s">
        <v>39</v>
      </c>
      <c r="K199" t="s">
        <v>87</v>
      </c>
      <c r="L199" t="s">
        <v>75</v>
      </c>
      <c r="M199" t="s">
        <v>76</v>
      </c>
      <c r="N199" s="8">
        <v>46235</v>
      </c>
      <c r="O199" s="8">
        <v>46242</v>
      </c>
      <c r="P199" t="s">
        <v>101</v>
      </c>
      <c r="Q199" s="8">
        <v>46241</v>
      </c>
      <c r="R199" t="s">
        <v>38</v>
      </c>
      <c r="S19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19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00" spans="1:20">
      <c r="A200" t="s">
        <v>458</v>
      </c>
      <c r="B200" t="s">
        <v>459</v>
      </c>
      <c r="C200" t="s">
        <v>59</v>
      </c>
      <c r="D200" t="s">
        <v>53</v>
      </c>
      <c r="E200" t="s">
        <v>201</v>
      </c>
      <c r="F200" t="s">
        <v>202</v>
      </c>
      <c r="G200" s="5">
        <v>9.8000000000000007</v>
      </c>
      <c r="H200" s="7">
        <v>0.40799999999999997</v>
      </c>
      <c r="I200" s="5" t="s">
        <v>38</v>
      </c>
      <c r="J200" t="s">
        <v>27</v>
      </c>
      <c r="K200" t="s">
        <v>60</v>
      </c>
      <c r="L200" t="s">
        <v>80</v>
      </c>
      <c r="M200" t="s">
        <v>96</v>
      </c>
      <c r="N200" s="8">
        <v>46253</v>
      </c>
      <c r="O200" s="8">
        <v>46260</v>
      </c>
      <c r="P200" t="s">
        <v>91</v>
      </c>
      <c r="Q200" s="8"/>
      <c r="R200" t="s">
        <v>26</v>
      </c>
      <c r="S20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20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01" spans="1:20">
      <c r="A201" t="s">
        <v>460</v>
      </c>
      <c r="B201" t="s">
        <v>461</v>
      </c>
      <c r="C201" t="s">
        <v>34</v>
      </c>
      <c r="D201" t="s">
        <v>53</v>
      </c>
      <c r="E201" t="s">
        <v>116</v>
      </c>
      <c r="F201" t="s">
        <v>37</v>
      </c>
      <c r="G201" s="5">
        <v>8.1</v>
      </c>
      <c r="H201" s="7">
        <v>0.33700000000000002</v>
      </c>
      <c r="I201" s="5" t="s">
        <v>38</v>
      </c>
      <c r="J201" t="s">
        <v>39</v>
      </c>
      <c r="K201" t="s">
        <v>28</v>
      </c>
      <c r="L201" t="s">
        <v>75</v>
      </c>
      <c r="M201" t="s">
        <v>76</v>
      </c>
      <c r="N201" s="8">
        <v>46255</v>
      </c>
      <c r="O201" s="8">
        <v>46269</v>
      </c>
      <c r="P201" t="s">
        <v>42</v>
      </c>
      <c r="Q201" s="8"/>
      <c r="R201" t="s">
        <v>38</v>
      </c>
      <c r="S20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20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02" spans="1:20">
      <c r="A202" t="s">
        <v>462</v>
      </c>
      <c r="B202" t="s">
        <v>204</v>
      </c>
      <c r="C202" t="s">
        <v>34</v>
      </c>
      <c r="D202" t="s">
        <v>90</v>
      </c>
      <c r="E202" t="s">
        <v>64</v>
      </c>
      <c r="F202" t="s">
        <v>37</v>
      </c>
      <c r="G202" s="5">
        <v>9.8000000000000007</v>
      </c>
      <c r="H202" s="7">
        <v>0.33500000000000002</v>
      </c>
      <c r="I202" s="5" t="s">
        <v>26</v>
      </c>
      <c r="J202" t="s">
        <v>39</v>
      </c>
      <c r="K202" t="s">
        <v>60</v>
      </c>
      <c r="L202" t="s">
        <v>80</v>
      </c>
      <c r="M202" t="s">
        <v>96</v>
      </c>
      <c r="N202" s="8">
        <v>46262</v>
      </c>
      <c r="O202" s="8">
        <v>46269</v>
      </c>
      <c r="P202" t="s">
        <v>42</v>
      </c>
      <c r="Q202" s="8"/>
      <c r="R202" t="s">
        <v>38</v>
      </c>
      <c r="S20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20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03" spans="1:20">
      <c r="A203" t="s">
        <v>463</v>
      </c>
      <c r="B203" t="s">
        <v>464</v>
      </c>
      <c r="C203" t="s">
        <v>59</v>
      </c>
      <c r="D203" t="s">
        <v>90</v>
      </c>
      <c r="E203" t="s">
        <v>116</v>
      </c>
      <c r="F203" t="s">
        <v>37</v>
      </c>
      <c r="G203" s="5">
        <v>8.1</v>
      </c>
      <c r="H203" s="7">
        <v>0.33500000000000002</v>
      </c>
      <c r="I203" s="5" t="s">
        <v>26</v>
      </c>
      <c r="J203" t="s">
        <v>39</v>
      </c>
      <c r="K203" t="s">
        <v>28</v>
      </c>
      <c r="L203" t="s">
        <v>40</v>
      </c>
      <c r="M203" t="s">
        <v>41</v>
      </c>
      <c r="N203" s="8">
        <v>46273</v>
      </c>
      <c r="O203" s="8">
        <v>46287</v>
      </c>
      <c r="P203" t="s">
        <v>42</v>
      </c>
      <c r="Q203" s="8"/>
      <c r="R203" t="s">
        <v>38</v>
      </c>
      <c r="S20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20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04" spans="1:20">
      <c r="A204" t="s">
        <v>465</v>
      </c>
      <c r="B204" t="s">
        <v>466</v>
      </c>
      <c r="C204" t="s">
        <v>58</v>
      </c>
      <c r="D204" t="s">
        <v>113</v>
      </c>
      <c r="E204" t="s">
        <v>146</v>
      </c>
      <c r="F204" t="s">
        <v>147</v>
      </c>
      <c r="G204" s="5">
        <v>7.5</v>
      </c>
      <c r="H204" s="7">
        <v>0.33400000000000002</v>
      </c>
      <c r="I204" s="5" t="s">
        <v>38</v>
      </c>
      <c r="J204" t="s">
        <v>39</v>
      </c>
      <c r="K204" t="s">
        <v>60</v>
      </c>
      <c r="L204" t="s">
        <v>99</v>
      </c>
      <c r="M204" t="s">
        <v>100</v>
      </c>
      <c r="N204" s="8">
        <v>46269</v>
      </c>
      <c r="O204" s="8">
        <v>46279</v>
      </c>
      <c r="P204" t="s">
        <v>42</v>
      </c>
      <c r="Q204" s="8"/>
      <c r="R204" t="s">
        <v>38</v>
      </c>
      <c r="S20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20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05" spans="1:20">
      <c r="A205" t="s">
        <v>467</v>
      </c>
      <c r="B205" t="s">
        <v>337</v>
      </c>
      <c r="C205" t="s">
        <v>58</v>
      </c>
      <c r="D205" t="s">
        <v>35</v>
      </c>
      <c r="E205" t="s">
        <v>201</v>
      </c>
      <c r="F205" t="s">
        <v>202</v>
      </c>
      <c r="G205" s="5">
        <v>10</v>
      </c>
      <c r="H205" s="7">
        <v>0.33300000000000002</v>
      </c>
      <c r="I205" s="5" t="s">
        <v>38</v>
      </c>
      <c r="J205" t="s">
        <v>27</v>
      </c>
      <c r="K205" t="s">
        <v>28</v>
      </c>
      <c r="L205" t="s">
        <v>80</v>
      </c>
      <c r="M205" t="s">
        <v>81</v>
      </c>
      <c r="N205" s="8">
        <v>46275</v>
      </c>
      <c r="O205" s="8">
        <v>46279</v>
      </c>
      <c r="P205" t="s">
        <v>42</v>
      </c>
      <c r="Q205" s="8"/>
      <c r="R205" t="s">
        <v>26</v>
      </c>
      <c r="S20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0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06" spans="1:20">
      <c r="A206" t="s">
        <v>468</v>
      </c>
      <c r="B206" t="s">
        <v>359</v>
      </c>
      <c r="C206" t="s">
        <v>34</v>
      </c>
      <c r="D206" t="s">
        <v>113</v>
      </c>
      <c r="E206" t="s">
        <v>47</v>
      </c>
      <c r="F206" t="s">
        <v>37</v>
      </c>
      <c r="G206" s="5">
        <v>10</v>
      </c>
      <c r="H206" s="7">
        <v>0.34399999999999997</v>
      </c>
      <c r="I206" s="5" t="s">
        <v>38</v>
      </c>
      <c r="J206" t="s">
        <v>39</v>
      </c>
      <c r="K206" t="s">
        <v>28</v>
      </c>
      <c r="L206" t="s">
        <v>99</v>
      </c>
      <c r="M206" t="s">
        <v>100</v>
      </c>
      <c r="N206" s="8">
        <v>46245</v>
      </c>
      <c r="O206" s="8">
        <v>46252</v>
      </c>
      <c r="P206" t="s">
        <v>91</v>
      </c>
      <c r="Q206" s="8"/>
      <c r="R206" t="s">
        <v>38</v>
      </c>
      <c r="S20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20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07" spans="1:20">
      <c r="A207" t="s">
        <v>469</v>
      </c>
      <c r="B207" t="s">
        <v>349</v>
      </c>
      <c r="C207" t="s">
        <v>59</v>
      </c>
      <c r="D207" t="s">
        <v>63</v>
      </c>
      <c r="E207" t="s">
        <v>216</v>
      </c>
      <c r="F207" t="s">
        <v>217</v>
      </c>
      <c r="G207" s="5">
        <v>9.3000000000000007</v>
      </c>
      <c r="H207" s="7">
        <v>0.33900000000000002</v>
      </c>
      <c r="I207" s="5" t="s">
        <v>38</v>
      </c>
      <c r="J207" t="s">
        <v>27</v>
      </c>
      <c r="K207" t="s">
        <v>28</v>
      </c>
      <c r="L207" t="s">
        <v>99</v>
      </c>
      <c r="M207" t="s">
        <v>100</v>
      </c>
      <c r="N207" s="8">
        <v>46273</v>
      </c>
      <c r="O207" s="8">
        <v>46280</v>
      </c>
      <c r="P207" t="s">
        <v>31</v>
      </c>
      <c r="Q207" s="8">
        <v>46279</v>
      </c>
      <c r="R207" t="s">
        <v>26</v>
      </c>
      <c r="S20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20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08" spans="1:20">
      <c r="A208" t="s">
        <v>470</v>
      </c>
      <c r="B208" t="s">
        <v>471</v>
      </c>
      <c r="C208" t="s">
        <v>79</v>
      </c>
      <c r="D208" t="s">
        <v>84</v>
      </c>
      <c r="E208" t="s">
        <v>216</v>
      </c>
      <c r="F208" t="s">
        <v>217</v>
      </c>
      <c r="G208" s="5">
        <v>9.1</v>
      </c>
      <c r="H208" s="7">
        <v>0.32600000000000001</v>
      </c>
      <c r="I208" s="5" t="s">
        <v>38</v>
      </c>
      <c r="J208" t="s">
        <v>39</v>
      </c>
      <c r="K208" t="s">
        <v>28</v>
      </c>
      <c r="L208" t="s">
        <v>75</v>
      </c>
      <c r="M208" t="s">
        <v>76</v>
      </c>
      <c r="N208" s="8">
        <v>46252</v>
      </c>
      <c r="O208" s="8">
        <v>46259</v>
      </c>
      <c r="P208" t="s">
        <v>42</v>
      </c>
      <c r="Q208" s="8"/>
      <c r="R208" t="s">
        <v>38</v>
      </c>
      <c r="S20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0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09" spans="1:20">
      <c r="A209" t="s">
        <v>472</v>
      </c>
      <c r="B209" t="s">
        <v>473</v>
      </c>
      <c r="C209" t="s">
        <v>22</v>
      </c>
      <c r="D209" t="s">
        <v>122</v>
      </c>
      <c r="E209" t="s">
        <v>36</v>
      </c>
      <c r="F209" t="s">
        <v>37</v>
      </c>
      <c r="G209" s="5">
        <v>10</v>
      </c>
      <c r="H209" s="7">
        <v>0.32500000000000001</v>
      </c>
      <c r="I209" s="5" t="s">
        <v>38</v>
      </c>
      <c r="J209" t="s">
        <v>27</v>
      </c>
      <c r="K209" t="s">
        <v>60</v>
      </c>
      <c r="L209" t="s">
        <v>99</v>
      </c>
      <c r="M209" t="s">
        <v>100</v>
      </c>
      <c r="N209" s="8">
        <v>46249</v>
      </c>
      <c r="O209" s="8">
        <v>46252</v>
      </c>
      <c r="P209" t="s">
        <v>42</v>
      </c>
      <c r="Q209" s="8"/>
      <c r="R209" t="s">
        <v>26</v>
      </c>
      <c r="S20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20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10" spans="1:20">
      <c r="A210" t="s">
        <v>474</v>
      </c>
      <c r="B210" t="s">
        <v>475</v>
      </c>
      <c r="C210" t="s">
        <v>79</v>
      </c>
      <c r="D210" t="s">
        <v>63</v>
      </c>
      <c r="E210" t="s">
        <v>216</v>
      </c>
      <c r="F210" t="s">
        <v>217</v>
      </c>
      <c r="G210" s="5">
        <v>9.1</v>
      </c>
      <c r="H210" s="7">
        <v>0.53500000000000003</v>
      </c>
      <c r="I210" s="5" t="s">
        <v>38</v>
      </c>
      <c r="J210" t="s">
        <v>39</v>
      </c>
      <c r="K210" t="s">
        <v>28</v>
      </c>
      <c r="L210" t="s">
        <v>40</v>
      </c>
      <c r="M210" t="s">
        <v>41</v>
      </c>
      <c r="N210" s="8">
        <v>46235</v>
      </c>
      <c r="O210" s="8">
        <v>46242</v>
      </c>
      <c r="P210" t="s">
        <v>91</v>
      </c>
      <c r="Q210" s="8"/>
      <c r="R210" t="s">
        <v>38</v>
      </c>
      <c r="S21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1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11" spans="1:20">
      <c r="A211" t="s">
        <v>476</v>
      </c>
      <c r="B211" t="s">
        <v>477</v>
      </c>
      <c r="C211" t="s">
        <v>34</v>
      </c>
      <c r="D211" t="s">
        <v>104</v>
      </c>
      <c r="E211" t="s">
        <v>64</v>
      </c>
      <c r="F211" t="s">
        <v>37</v>
      </c>
      <c r="G211" s="5">
        <v>10</v>
      </c>
      <c r="H211" s="7">
        <v>0.29799999999999999</v>
      </c>
      <c r="I211" s="5" t="s">
        <v>26</v>
      </c>
      <c r="J211" t="s">
        <v>27</v>
      </c>
      <c r="K211" t="s">
        <v>28</v>
      </c>
      <c r="L211" t="s">
        <v>99</v>
      </c>
      <c r="M211" t="s">
        <v>100</v>
      </c>
      <c r="N211" s="8">
        <v>46257</v>
      </c>
      <c r="O211" s="8">
        <v>46264</v>
      </c>
      <c r="P211" t="s">
        <v>42</v>
      </c>
      <c r="Q211" s="8"/>
      <c r="R211" t="s">
        <v>26</v>
      </c>
      <c r="S21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14</v>
      </c>
      <c r="T21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212" spans="1:20">
      <c r="A212" t="s">
        <v>478</v>
      </c>
      <c r="B212" t="s">
        <v>215</v>
      </c>
      <c r="C212" t="s">
        <v>79</v>
      </c>
      <c r="D212" t="s">
        <v>84</v>
      </c>
      <c r="E212" t="s">
        <v>64</v>
      </c>
      <c r="F212" t="s">
        <v>37</v>
      </c>
      <c r="G212" s="5">
        <v>9.8000000000000007</v>
      </c>
      <c r="H212" s="7">
        <v>0.309</v>
      </c>
      <c r="I212" s="5" t="s">
        <v>26</v>
      </c>
      <c r="J212" t="s">
        <v>39</v>
      </c>
      <c r="K212" t="s">
        <v>87</v>
      </c>
      <c r="L212" t="s">
        <v>29</v>
      </c>
      <c r="M212" t="s">
        <v>65</v>
      </c>
      <c r="N212" s="8">
        <v>46243</v>
      </c>
      <c r="O212" s="8">
        <v>46247</v>
      </c>
      <c r="P212" t="s">
        <v>42</v>
      </c>
      <c r="Q212" s="8"/>
      <c r="R212" t="s">
        <v>38</v>
      </c>
      <c r="S21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21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13" spans="1:20">
      <c r="A213" t="s">
        <v>479</v>
      </c>
      <c r="B213" t="s">
        <v>480</v>
      </c>
      <c r="C213" t="s">
        <v>79</v>
      </c>
      <c r="D213" t="s">
        <v>59</v>
      </c>
      <c r="E213" t="s">
        <v>36</v>
      </c>
      <c r="F213" t="s">
        <v>37</v>
      </c>
      <c r="G213" s="5">
        <v>9.8000000000000007</v>
      </c>
      <c r="H213" s="7">
        <v>0.33500000000000002</v>
      </c>
      <c r="I213" s="5" t="s">
        <v>38</v>
      </c>
      <c r="J213" t="s">
        <v>39</v>
      </c>
      <c r="K213" t="s">
        <v>28</v>
      </c>
      <c r="L213" t="s">
        <v>29</v>
      </c>
      <c r="M213" t="s">
        <v>65</v>
      </c>
      <c r="N213" s="8">
        <v>46269</v>
      </c>
      <c r="O213" s="8">
        <v>46273</v>
      </c>
      <c r="P213" t="s">
        <v>101</v>
      </c>
      <c r="Q213" s="8">
        <v>46274</v>
      </c>
      <c r="R213" t="s">
        <v>38</v>
      </c>
      <c r="S21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1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14" spans="1:20">
      <c r="A214" t="s">
        <v>481</v>
      </c>
      <c r="B214" t="s">
        <v>482</v>
      </c>
      <c r="C214" t="s">
        <v>45</v>
      </c>
      <c r="D214" t="s">
        <v>113</v>
      </c>
      <c r="E214" t="s">
        <v>125</v>
      </c>
      <c r="F214" t="s">
        <v>126</v>
      </c>
      <c r="G214" s="5">
        <v>8.6</v>
      </c>
      <c r="H214" s="7">
        <v>0.30599999999999999</v>
      </c>
      <c r="I214" s="5" t="s">
        <v>38</v>
      </c>
      <c r="J214" t="s">
        <v>39</v>
      </c>
      <c r="K214" t="s">
        <v>28</v>
      </c>
      <c r="L214" t="s">
        <v>80</v>
      </c>
      <c r="M214" t="s">
        <v>81</v>
      </c>
      <c r="N214" s="8">
        <v>46262</v>
      </c>
      <c r="O214" s="8">
        <v>46276</v>
      </c>
      <c r="P214" t="s">
        <v>42</v>
      </c>
      <c r="Q214" s="8"/>
      <c r="R214" t="s">
        <v>38</v>
      </c>
      <c r="S21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21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15" spans="1:20">
      <c r="A215" t="s">
        <v>483</v>
      </c>
      <c r="B215" t="s">
        <v>179</v>
      </c>
      <c r="C215" t="s">
        <v>34</v>
      </c>
      <c r="D215" t="s">
        <v>122</v>
      </c>
      <c r="E215" t="s">
        <v>146</v>
      </c>
      <c r="F215" t="s">
        <v>147</v>
      </c>
      <c r="G215" s="5">
        <v>7.5</v>
      </c>
      <c r="H215" s="7">
        <v>0.21</v>
      </c>
      <c r="I215" s="5" t="s">
        <v>38</v>
      </c>
      <c r="J215" t="s">
        <v>27</v>
      </c>
      <c r="K215" t="s">
        <v>28</v>
      </c>
      <c r="L215" t="s">
        <v>75</v>
      </c>
      <c r="M215" t="s">
        <v>129</v>
      </c>
      <c r="N215" s="8">
        <v>46262</v>
      </c>
      <c r="O215" s="8">
        <v>46274</v>
      </c>
      <c r="P215" t="s">
        <v>50</v>
      </c>
      <c r="Q215" s="8"/>
      <c r="R215" t="s">
        <v>26</v>
      </c>
      <c r="S21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1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16" spans="1:20">
      <c r="A216" t="s">
        <v>484</v>
      </c>
      <c r="B216" t="s">
        <v>259</v>
      </c>
      <c r="C216" t="s">
        <v>79</v>
      </c>
      <c r="D216" t="s">
        <v>104</v>
      </c>
      <c r="E216" t="s">
        <v>36</v>
      </c>
      <c r="F216" t="s">
        <v>37</v>
      </c>
      <c r="G216" s="5">
        <v>9.8000000000000007</v>
      </c>
      <c r="H216" s="7">
        <v>0.30499999999999999</v>
      </c>
      <c r="I216" s="5" t="s">
        <v>38</v>
      </c>
      <c r="J216" t="s">
        <v>39</v>
      </c>
      <c r="K216" t="s">
        <v>60</v>
      </c>
      <c r="L216" t="s">
        <v>99</v>
      </c>
      <c r="M216" t="s">
        <v>100</v>
      </c>
      <c r="N216" s="8">
        <v>46272</v>
      </c>
      <c r="O216" s="8">
        <v>46279</v>
      </c>
      <c r="P216" t="s">
        <v>42</v>
      </c>
      <c r="Q216" s="8"/>
      <c r="R216" t="s">
        <v>38</v>
      </c>
      <c r="S21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1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17" spans="1:20">
      <c r="A217" t="s">
        <v>485</v>
      </c>
      <c r="B217" t="s">
        <v>138</v>
      </c>
      <c r="C217" t="s">
        <v>22</v>
      </c>
      <c r="D217" t="s">
        <v>53</v>
      </c>
      <c r="E217" t="s">
        <v>64</v>
      </c>
      <c r="F217" t="s">
        <v>37</v>
      </c>
      <c r="G217" s="5">
        <v>9.8000000000000007</v>
      </c>
      <c r="H217" s="7">
        <v>0.60399999999999998</v>
      </c>
      <c r="I217" s="5" t="s">
        <v>38</v>
      </c>
      <c r="J217" t="s">
        <v>110</v>
      </c>
      <c r="K217" t="s">
        <v>60</v>
      </c>
      <c r="L217" t="s">
        <v>80</v>
      </c>
      <c r="M217" t="s">
        <v>81</v>
      </c>
      <c r="N217" s="8">
        <v>46250</v>
      </c>
      <c r="O217" s="8">
        <v>46257</v>
      </c>
      <c r="P217" t="s">
        <v>101</v>
      </c>
      <c r="Q217" s="8">
        <v>46272</v>
      </c>
      <c r="R217" t="s">
        <v>38</v>
      </c>
      <c r="S21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1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18" spans="1:20">
      <c r="A218" t="s">
        <v>486</v>
      </c>
      <c r="B218" t="s">
        <v>487</v>
      </c>
      <c r="C218" t="s">
        <v>22</v>
      </c>
      <c r="D218" t="s">
        <v>104</v>
      </c>
      <c r="E218" t="s">
        <v>64</v>
      </c>
      <c r="F218" t="s">
        <v>37</v>
      </c>
      <c r="G218" s="5">
        <v>9.8000000000000007</v>
      </c>
      <c r="H218" s="7">
        <v>0.39300000000000002</v>
      </c>
      <c r="I218" s="5" t="s">
        <v>38</v>
      </c>
      <c r="J218" t="s">
        <v>39</v>
      </c>
      <c r="K218" t="s">
        <v>28</v>
      </c>
      <c r="L218" t="s">
        <v>80</v>
      </c>
      <c r="M218" t="s">
        <v>81</v>
      </c>
      <c r="N218" s="8">
        <v>46269</v>
      </c>
      <c r="O218" s="8">
        <v>46272</v>
      </c>
      <c r="P218" t="s">
        <v>91</v>
      </c>
      <c r="Q218" s="8"/>
      <c r="R218" t="s">
        <v>38</v>
      </c>
      <c r="S21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1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19" spans="1:20">
      <c r="A219" t="s">
        <v>488</v>
      </c>
      <c r="B219" t="s">
        <v>489</v>
      </c>
      <c r="C219" t="s">
        <v>45</v>
      </c>
      <c r="D219" t="s">
        <v>63</v>
      </c>
      <c r="E219" t="s">
        <v>216</v>
      </c>
      <c r="F219" t="s">
        <v>217</v>
      </c>
      <c r="G219" s="5">
        <v>9.1</v>
      </c>
      <c r="H219" s="7">
        <v>0.80200000000000005</v>
      </c>
      <c r="I219" s="5" t="s">
        <v>38</v>
      </c>
      <c r="J219" t="s">
        <v>39</v>
      </c>
      <c r="K219" t="s">
        <v>28</v>
      </c>
      <c r="L219" t="s">
        <v>40</v>
      </c>
      <c r="M219" t="s">
        <v>41</v>
      </c>
      <c r="N219" s="8">
        <v>46246</v>
      </c>
      <c r="O219" s="8">
        <v>46249</v>
      </c>
      <c r="P219" t="s">
        <v>50</v>
      </c>
      <c r="Q219" s="8"/>
      <c r="R219" t="s">
        <v>38</v>
      </c>
      <c r="S21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1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20" spans="1:20">
      <c r="A220" t="s">
        <v>490</v>
      </c>
      <c r="B220" t="s">
        <v>372</v>
      </c>
      <c r="C220" t="s">
        <v>59</v>
      </c>
      <c r="D220" t="s">
        <v>122</v>
      </c>
      <c r="E220" t="s">
        <v>201</v>
      </c>
      <c r="F220" t="s">
        <v>202</v>
      </c>
      <c r="G220" s="5">
        <v>9.8000000000000007</v>
      </c>
      <c r="H220" s="7">
        <v>0.20599999999999999</v>
      </c>
      <c r="I220" s="5" t="s">
        <v>38</v>
      </c>
      <c r="J220" t="s">
        <v>39</v>
      </c>
      <c r="K220" t="s">
        <v>28</v>
      </c>
      <c r="L220" t="s">
        <v>75</v>
      </c>
      <c r="M220" t="s">
        <v>76</v>
      </c>
      <c r="N220" s="8">
        <v>46257</v>
      </c>
      <c r="O220" s="8">
        <v>46264</v>
      </c>
      <c r="P220" t="s">
        <v>50</v>
      </c>
      <c r="Q220" s="8"/>
      <c r="R220" t="s">
        <v>38</v>
      </c>
      <c r="S22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2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21" spans="1:20">
      <c r="A221" t="s">
        <v>491</v>
      </c>
      <c r="B221" t="s">
        <v>492</v>
      </c>
      <c r="C221" t="s">
        <v>79</v>
      </c>
      <c r="D221" t="s">
        <v>84</v>
      </c>
      <c r="E221" t="s">
        <v>64</v>
      </c>
      <c r="F221" t="s">
        <v>37</v>
      </c>
      <c r="G221" s="5">
        <v>9.8000000000000007</v>
      </c>
      <c r="H221" s="7">
        <v>0.30399999999999999</v>
      </c>
      <c r="I221" s="5" t="s">
        <v>26</v>
      </c>
      <c r="J221" t="s">
        <v>110</v>
      </c>
      <c r="K221" t="s">
        <v>28</v>
      </c>
      <c r="L221" t="s">
        <v>48</v>
      </c>
      <c r="M221" t="s">
        <v>132</v>
      </c>
      <c r="N221" s="8">
        <v>46239</v>
      </c>
      <c r="O221" s="8">
        <v>46246</v>
      </c>
      <c r="P221" t="s">
        <v>42</v>
      </c>
      <c r="Q221" s="8"/>
      <c r="R221" t="s">
        <v>38</v>
      </c>
      <c r="S22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2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22" spans="1:20">
      <c r="A222" t="s">
        <v>493</v>
      </c>
      <c r="B222" t="s">
        <v>494</v>
      </c>
      <c r="C222" t="s">
        <v>79</v>
      </c>
      <c r="D222" t="s">
        <v>113</v>
      </c>
      <c r="E222" t="s">
        <v>201</v>
      </c>
      <c r="F222" t="s">
        <v>202</v>
      </c>
      <c r="G222" s="5">
        <v>9.8000000000000007</v>
      </c>
      <c r="H222" s="7">
        <v>0.29599999999999999</v>
      </c>
      <c r="I222" s="5" t="s">
        <v>38</v>
      </c>
      <c r="J222" t="s">
        <v>39</v>
      </c>
      <c r="K222" t="s">
        <v>28</v>
      </c>
      <c r="L222" t="s">
        <v>80</v>
      </c>
      <c r="M222" t="s">
        <v>81</v>
      </c>
      <c r="N222" s="8">
        <v>46256</v>
      </c>
      <c r="O222" s="8">
        <v>46259</v>
      </c>
      <c r="P222" t="s">
        <v>31</v>
      </c>
      <c r="Q222" s="8">
        <v>46289</v>
      </c>
      <c r="R222" t="s">
        <v>38</v>
      </c>
      <c r="S22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2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23" spans="1:20">
      <c r="A223" t="s">
        <v>495</v>
      </c>
      <c r="B223" t="s">
        <v>496</v>
      </c>
      <c r="C223" t="s">
        <v>58</v>
      </c>
      <c r="D223" t="s">
        <v>113</v>
      </c>
      <c r="E223" t="s">
        <v>216</v>
      </c>
      <c r="F223" t="s">
        <v>217</v>
      </c>
      <c r="G223" s="5">
        <v>9.1</v>
      </c>
      <c r="H223" s="7">
        <v>0.30399999999999999</v>
      </c>
      <c r="I223" s="5" t="s">
        <v>38</v>
      </c>
      <c r="J223" t="s">
        <v>110</v>
      </c>
      <c r="K223" t="s">
        <v>28</v>
      </c>
      <c r="L223" t="s">
        <v>75</v>
      </c>
      <c r="M223" t="s">
        <v>76</v>
      </c>
      <c r="N223" s="8">
        <v>46235</v>
      </c>
      <c r="O223" s="8">
        <v>46242</v>
      </c>
      <c r="P223" t="s">
        <v>42</v>
      </c>
      <c r="Q223" s="8"/>
      <c r="R223" t="s">
        <v>38</v>
      </c>
      <c r="S22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2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24" spans="1:20">
      <c r="A224" t="s">
        <v>497</v>
      </c>
      <c r="B224" t="s">
        <v>498</v>
      </c>
      <c r="C224" t="s">
        <v>59</v>
      </c>
      <c r="D224" t="s">
        <v>113</v>
      </c>
      <c r="E224" t="s">
        <v>125</v>
      </c>
      <c r="F224" t="s">
        <v>126</v>
      </c>
      <c r="G224" s="5">
        <v>8.8000000000000007</v>
      </c>
      <c r="H224" s="7">
        <v>0.36299999999999999</v>
      </c>
      <c r="I224" s="5" t="s">
        <v>38</v>
      </c>
      <c r="J224" t="s">
        <v>27</v>
      </c>
      <c r="K224" t="s">
        <v>28</v>
      </c>
      <c r="L224" t="s">
        <v>75</v>
      </c>
      <c r="M224" t="s">
        <v>76</v>
      </c>
      <c r="N224" s="8">
        <v>46244</v>
      </c>
      <c r="O224" s="8">
        <v>46258</v>
      </c>
      <c r="P224" t="s">
        <v>50</v>
      </c>
      <c r="Q224" s="8"/>
      <c r="R224" t="s">
        <v>26</v>
      </c>
      <c r="S22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2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25" spans="1:20">
      <c r="A225" t="s">
        <v>499</v>
      </c>
      <c r="B225" t="s">
        <v>500</v>
      </c>
      <c r="C225" t="s">
        <v>34</v>
      </c>
      <c r="D225" t="s">
        <v>90</v>
      </c>
      <c r="E225" t="s">
        <v>64</v>
      </c>
      <c r="F225" t="s">
        <v>37</v>
      </c>
      <c r="G225" s="5">
        <v>9.8000000000000007</v>
      </c>
      <c r="H225" s="7">
        <v>0.30399999999999999</v>
      </c>
      <c r="I225" s="5" t="s">
        <v>38</v>
      </c>
      <c r="J225" t="s">
        <v>39</v>
      </c>
      <c r="K225" t="s">
        <v>60</v>
      </c>
      <c r="L225" t="s">
        <v>29</v>
      </c>
      <c r="M225" t="s">
        <v>30</v>
      </c>
      <c r="N225" s="8">
        <v>46235</v>
      </c>
      <c r="O225" s="8">
        <v>46239</v>
      </c>
      <c r="P225" t="s">
        <v>42</v>
      </c>
      <c r="Q225" s="8"/>
      <c r="R225" t="s">
        <v>38</v>
      </c>
      <c r="S22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2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26" spans="1:20">
      <c r="A226" t="s">
        <v>501</v>
      </c>
      <c r="B226" t="s">
        <v>502</v>
      </c>
      <c r="C226" t="s">
        <v>59</v>
      </c>
      <c r="D226" t="s">
        <v>90</v>
      </c>
      <c r="E226" t="s">
        <v>24</v>
      </c>
      <c r="F226" t="s">
        <v>25</v>
      </c>
      <c r="G226" s="5">
        <v>10</v>
      </c>
      <c r="H226" s="7">
        <v>0.1</v>
      </c>
      <c r="I226" s="5" t="s">
        <v>38</v>
      </c>
      <c r="J226" t="s">
        <v>110</v>
      </c>
      <c r="K226" t="s">
        <v>28</v>
      </c>
      <c r="L226" t="s">
        <v>54</v>
      </c>
      <c r="M226" t="s">
        <v>55</v>
      </c>
      <c r="N226" s="8">
        <v>46235</v>
      </c>
      <c r="O226" s="8">
        <v>46242</v>
      </c>
      <c r="P226" t="s">
        <v>31</v>
      </c>
      <c r="Q226" s="8">
        <v>46266</v>
      </c>
      <c r="R226" t="s">
        <v>38</v>
      </c>
      <c r="S22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2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27" spans="1:20">
      <c r="A227" t="s">
        <v>503</v>
      </c>
      <c r="B227" t="s">
        <v>504</v>
      </c>
      <c r="C227" t="s">
        <v>58</v>
      </c>
      <c r="D227" t="s">
        <v>35</v>
      </c>
      <c r="E227" t="s">
        <v>201</v>
      </c>
      <c r="F227" t="s">
        <v>202</v>
      </c>
      <c r="G227" s="5">
        <v>9.8000000000000007</v>
      </c>
      <c r="H227" s="7">
        <v>0.28299999999999997</v>
      </c>
      <c r="I227" s="5" t="s">
        <v>38</v>
      </c>
      <c r="J227" t="s">
        <v>39</v>
      </c>
      <c r="K227" t="s">
        <v>28</v>
      </c>
      <c r="L227" t="s">
        <v>54</v>
      </c>
      <c r="M227" t="s">
        <v>55</v>
      </c>
      <c r="N227" s="8">
        <v>46235</v>
      </c>
      <c r="O227" s="8">
        <v>46242</v>
      </c>
      <c r="P227" t="s">
        <v>101</v>
      </c>
      <c r="Q227" s="8">
        <v>46256</v>
      </c>
      <c r="R227" t="s">
        <v>38</v>
      </c>
      <c r="S22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2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28" spans="1:20">
      <c r="A228" t="s">
        <v>505</v>
      </c>
      <c r="B228" t="s">
        <v>345</v>
      </c>
      <c r="C228" t="s">
        <v>22</v>
      </c>
      <c r="D228" t="s">
        <v>109</v>
      </c>
      <c r="E228" t="s">
        <v>70</v>
      </c>
      <c r="F228" t="s">
        <v>71</v>
      </c>
      <c r="G228" s="5">
        <v>9.8000000000000007</v>
      </c>
      <c r="H228" s="7">
        <v>0.36799999999999999</v>
      </c>
      <c r="I228" s="5" t="s">
        <v>38</v>
      </c>
      <c r="J228" t="s">
        <v>39</v>
      </c>
      <c r="K228" t="s">
        <v>28</v>
      </c>
      <c r="L228" t="s">
        <v>40</v>
      </c>
      <c r="M228" t="s">
        <v>72</v>
      </c>
      <c r="N228" s="8">
        <v>46263</v>
      </c>
      <c r="O228" s="8">
        <v>46266</v>
      </c>
      <c r="P228" t="s">
        <v>31</v>
      </c>
      <c r="Q228" s="8">
        <v>46265</v>
      </c>
      <c r="R228" t="s">
        <v>38</v>
      </c>
      <c r="S22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2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29" spans="1:20">
      <c r="A229" t="s">
        <v>506</v>
      </c>
      <c r="B229" t="s">
        <v>507</v>
      </c>
      <c r="C229" t="s">
        <v>45</v>
      </c>
      <c r="D229" t="s">
        <v>63</v>
      </c>
      <c r="E229" t="s">
        <v>142</v>
      </c>
      <c r="F229" t="s">
        <v>71</v>
      </c>
      <c r="G229" s="5">
        <v>9</v>
      </c>
      <c r="H229" s="7">
        <v>0.121</v>
      </c>
      <c r="I229" s="5" t="s">
        <v>38</v>
      </c>
      <c r="J229" t="s">
        <v>27</v>
      </c>
      <c r="K229" t="s">
        <v>28</v>
      </c>
      <c r="L229" t="s">
        <v>75</v>
      </c>
      <c r="M229" t="s">
        <v>76</v>
      </c>
      <c r="N229" s="8">
        <v>46251</v>
      </c>
      <c r="O229" s="8">
        <v>46258</v>
      </c>
      <c r="P229" t="s">
        <v>31</v>
      </c>
      <c r="Q229" s="8">
        <v>46278</v>
      </c>
      <c r="R229" t="s">
        <v>26</v>
      </c>
      <c r="S22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2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30" spans="1:20">
      <c r="A230" t="s">
        <v>508</v>
      </c>
      <c r="B230" t="s">
        <v>509</v>
      </c>
      <c r="C230" t="s">
        <v>34</v>
      </c>
      <c r="D230" t="s">
        <v>23</v>
      </c>
      <c r="E230" t="s">
        <v>119</v>
      </c>
      <c r="F230" t="s">
        <v>37</v>
      </c>
      <c r="G230" s="5">
        <v>8</v>
      </c>
      <c r="H230" s="7">
        <v>0.70799999999999996</v>
      </c>
      <c r="I230" s="5" t="s">
        <v>38</v>
      </c>
      <c r="J230" t="s">
        <v>27</v>
      </c>
      <c r="K230" t="s">
        <v>60</v>
      </c>
      <c r="L230" t="s">
        <v>40</v>
      </c>
      <c r="M230" t="s">
        <v>41</v>
      </c>
      <c r="N230" s="8">
        <v>46238</v>
      </c>
      <c r="O230" s="8">
        <v>46252</v>
      </c>
      <c r="P230" t="s">
        <v>50</v>
      </c>
      <c r="Q230" s="8"/>
      <c r="R230" t="s">
        <v>26</v>
      </c>
      <c r="S23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3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31" spans="1:20">
      <c r="A231" t="s">
        <v>510</v>
      </c>
      <c r="B231" t="s">
        <v>511</v>
      </c>
      <c r="C231" t="s">
        <v>34</v>
      </c>
      <c r="D231" t="s">
        <v>23</v>
      </c>
      <c r="E231" t="s">
        <v>142</v>
      </c>
      <c r="F231" t="s">
        <v>71</v>
      </c>
      <c r="G231" s="5">
        <v>8.8000000000000007</v>
      </c>
      <c r="H231" s="7">
        <v>0.30399999999999999</v>
      </c>
      <c r="I231" s="5" t="s">
        <v>38</v>
      </c>
      <c r="J231" t="s">
        <v>39</v>
      </c>
      <c r="K231" t="s">
        <v>60</v>
      </c>
      <c r="L231" t="s">
        <v>99</v>
      </c>
      <c r="M231" t="s">
        <v>100</v>
      </c>
      <c r="N231" s="8">
        <v>46262</v>
      </c>
      <c r="O231" s="8">
        <v>46274</v>
      </c>
      <c r="P231" t="s">
        <v>42</v>
      </c>
      <c r="Q231" s="8"/>
      <c r="R231" t="s">
        <v>38</v>
      </c>
      <c r="S23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23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32" spans="1:20">
      <c r="A232" t="s">
        <v>512</v>
      </c>
      <c r="B232" t="s">
        <v>513</v>
      </c>
      <c r="C232" t="s">
        <v>22</v>
      </c>
      <c r="D232" t="s">
        <v>35</v>
      </c>
      <c r="E232" t="s">
        <v>64</v>
      </c>
      <c r="F232" t="s">
        <v>37</v>
      </c>
      <c r="G232" s="5">
        <v>9.8000000000000007</v>
      </c>
      <c r="H232" s="7">
        <v>0.29199999999999998</v>
      </c>
      <c r="I232" s="5" t="s">
        <v>38</v>
      </c>
      <c r="J232" t="s">
        <v>39</v>
      </c>
      <c r="K232" t="s">
        <v>28</v>
      </c>
      <c r="L232" t="s">
        <v>99</v>
      </c>
      <c r="M232" t="s">
        <v>100</v>
      </c>
      <c r="N232" s="8">
        <v>46256</v>
      </c>
      <c r="O232" s="8">
        <v>46263</v>
      </c>
      <c r="P232" t="s">
        <v>101</v>
      </c>
      <c r="Q232" s="8">
        <v>46287</v>
      </c>
      <c r="R232" t="s">
        <v>38</v>
      </c>
      <c r="S23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3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33" spans="1:20">
      <c r="A233" t="s">
        <v>514</v>
      </c>
      <c r="B233" t="s">
        <v>219</v>
      </c>
      <c r="C233" t="s">
        <v>58</v>
      </c>
      <c r="D233" t="s">
        <v>84</v>
      </c>
      <c r="E233" t="s">
        <v>70</v>
      </c>
      <c r="F233" t="s">
        <v>71</v>
      </c>
      <c r="G233" s="5">
        <v>9.8000000000000007</v>
      </c>
      <c r="H233" s="7">
        <v>0.30299999999999999</v>
      </c>
      <c r="I233" s="5" t="s">
        <v>38</v>
      </c>
      <c r="J233" t="s">
        <v>39</v>
      </c>
      <c r="K233" t="s">
        <v>28</v>
      </c>
      <c r="L233" t="s">
        <v>54</v>
      </c>
      <c r="M233" t="s">
        <v>55</v>
      </c>
      <c r="N233" s="8">
        <v>46236</v>
      </c>
      <c r="O233" s="8">
        <v>46243</v>
      </c>
      <c r="P233" t="s">
        <v>42</v>
      </c>
      <c r="Q233" s="8"/>
      <c r="R233" t="s">
        <v>38</v>
      </c>
      <c r="S23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3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34" spans="1:20">
      <c r="A234" t="s">
        <v>515</v>
      </c>
      <c r="B234" t="s">
        <v>516</v>
      </c>
      <c r="C234" t="s">
        <v>45</v>
      </c>
      <c r="D234" t="s">
        <v>59</v>
      </c>
      <c r="E234" t="s">
        <v>36</v>
      </c>
      <c r="F234" t="s">
        <v>37</v>
      </c>
      <c r="G234" s="5">
        <v>9.8000000000000007</v>
      </c>
      <c r="H234" s="7">
        <v>0.30199999999999999</v>
      </c>
      <c r="I234" s="5" t="s">
        <v>38</v>
      </c>
      <c r="J234" t="s">
        <v>110</v>
      </c>
      <c r="K234" t="s">
        <v>60</v>
      </c>
      <c r="L234" t="s">
        <v>29</v>
      </c>
      <c r="M234" t="s">
        <v>30</v>
      </c>
      <c r="N234" s="8">
        <v>46242</v>
      </c>
      <c r="O234" s="8">
        <v>46245</v>
      </c>
      <c r="P234" t="s">
        <v>42</v>
      </c>
      <c r="Q234" s="8"/>
      <c r="R234" t="s">
        <v>38</v>
      </c>
      <c r="S23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3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35" spans="1:20">
      <c r="A235" t="s">
        <v>517</v>
      </c>
      <c r="B235" t="s">
        <v>518</v>
      </c>
      <c r="C235" t="s">
        <v>34</v>
      </c>
      <c r="D235" t="s">
        <v>104</v>
      </c>
      <c r="E235" t="s">
        <v>47</v>
      </c>
      <c r="F235" t="s">
        <v>37</v>
      </c>
      <c r="G235" s="5">
        <v>10</v>
      </c>
      <c r="H235" s="7">
        <v>0.72699999999999998</v>
      </c>
      <c r="I235" s="5" t="s">
        <v>26</v>
      </c>
      <c r="J235" t="s">
        <v>39</v>
      </c>
      <c r="K235" t="s">
        <v>28</v>
      </c>
      <c r="L235" t="s">
        <v>40</v>
      </c>
      <c r="M235" t="s">
        <v>41</v>
      </c>
      <c r="N235" s="8">
        <v>46253</v>
      </c>
      <c r="O235" s="8">
        <v>46260</v>
      </c>
      <c r="P235" t="s">
        <v>42</v>
      </c>
      <c r="Q235" s="8"/>
      <c r="R235" t="s">
        <v>38</v>
      </c>
      <c r="S23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3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236" spans="1:20">
      <c r="A236" t="s">
        <v>519</v>
      </c>
      <c r="B236" t="s">
        <v>400</v>
      </c>
      <c r="C236" t="s">
        <v>79</v>
      </c>
      <c r="D236" t="s">
        <v>63</v>
      </c>
      <c r="E236" t="s">
        <v>201</v>
      </c>
      <c r="F236" t="s">
        <v>202</v>
      </c>
      <c r="G236" s="5">
        <v>9.8000000000000007</v>
      </c>
      <c r="H236" s="7">
        <v>0.29799999999999999</v>
      </c>
      <c r="I236" s="5" t="s">
        <v>38</v>
      </c>
      <c r="J236" t="s">
        <v>39</v>
      </c>
      <c r="K236" t="s">
        <v>60</v>
      </c>
      <c r="L236" t="s">
        <v>29</v>
      </c>
      <c r="M236" t="s">
        <v>30</v>
      </c>
      <c r="N236" s="8">
        <v>46242</v>
      </c>
      <c r="O236" s="8">
        <v>46249</v>
      </c>
      <c r="P236" t="s">
        <v>42</v>
      </c>
      <c r="Q236" s="8"/>
      <c r="R236" t="s">
        <v>38</v>
      </c>
      <c r="S23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3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37" spans="1:20">
      <c r="A237" t="s">
        <v>520</v>
      </c>
      <c r="B237" t="s">
        <v>521</v>
      </c>
      <c r="C237" t="s">
        <v>58</v>
      </c>
      <c r="D237" t="s">
        <v>104</v>
      </c>
      <c r="E237" t="s">
        <v>116</v>
      </c>
      <c r="F237" t="s">
        <v>37</v>
      </c>
      <c r="G237" s="5">
        <v>8.1</v>
      </c>
      <c r="H237" s="7">
        <v>0.154</v>
      </c>
      <c r="I237" s="5" t="s">
        <v>26</v>
      </c>
      <c r="J237" t="s">
        <v>39</v>
      </c>
      <c r="K237" t="s">
        <v>28</v>
      </c>
      <c r="L237" t="s">
        <v>75</v>
      </c>
      <c r="M237" t="s">
        <v>76</v>
      </c>
      <c r="N237" s="8">
        <v>46255</v>
      </c>
      <c r="O237" s="8">
        <v>46269</v>
      </c>
      <c r="P237" t="s">
        <v>31</v>
      </c>
      <c r="Q237" s="8">
        <v>46262</v>
      </c>
      <c r="R237" t="s">
        <v>38</v>
      </c>
      <c r="S23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3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38" spans="1:20">
      <c r="A238" t="s">
        <v>522</v>
      </c>
      <c r="B238" t="s">
        <v>523</v>
      </c>
      <c r="C238" t="s">
        <v>45</v>
      </c>
      <c r="D238" t="s">
        <v>84</v>
      </c>
      <c r="E238" t="s">
        <v>216</v>
      </c>
      <c r="F238" t="s">
        <v>217</v>
      </c>
      <c r="G238" s="5">
        <v>9.1</v>
      </c>
      <c r="H238" s="7">
        <v>0.14799999999999999</v>
      </c>
      <c r="I238" s="5" t="s">
        <v>38</v>
      </c>
      <c r="J238" t="s">
        <v>27</v>
      </c>
      <c r="K238" t="s">
        <v>28</v>
      </c>
      <c r="L238" t="s">
        <v>80</v>
      </c>
      <c r="M238" t="s">
        <v>81</v>
      </c>
      <c r="N238" s="8">
        <v>46241</v>
      </c>
      <c r="O238" s="8">
        <v>46246</v>
      </c>
      <c r="P238" t="s">
        <v>91</v>
      </c>
      <c r="Q238" s="8"/>
      <c r="R238" t="s">
        <v>26</v>
      </c>
      <c r="S23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3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39" spans="1:20">
      <c r="A239" t="s">
        <v>524</v>
      </c>
      <c r="B239" t="s">
        <v>525</v>
      </c>
      <c r="C239" t="s">
        <v>79</v>
      </c>
      <c r="D239" t="s">
        <v>122</v>
      </c>
      <c r="E239" t="s">
        <v>70</v>
      </c>
      <c r="F239" t="s">
        <v>71</v>
      </c>
      <c r="G239" s="5">
        <v>9.8000000000000007</v>
      </c>
      <c r="H239" s="7">
        <v>0.217</v>
      </c>
      <c r="I239" s="5" t="s">
        <v>38</v>
      </c>
      <c r="J239" t="s">
        <v>39</v>
      </c>
      <c r="K239" t="s">
        <v>28</v>
      </c>
      <c r="L239" t="s">
        <v>75</v>
      </c>
      <c r="M239" t="s">
        <v>129</v>
      </c>
      <c r="N239" s="8">
        <v>46256</v>
      </c>
      <c r="O239" s="8">
        <v>46262</v>
      </c>
      <c r="P239" t="s">
        <v>50</v>
      </c>
      <c r="Q239" s="8"/>
      <c r="R239" t="s">
        <v>38</v>
      </c>
      <c r="S23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3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40" spans="1:20">
      <c r="A240" t="s">
        <v>526</v>
      </c>
      <c r="B240" t="s">
        <v>527</v>
      </c>
      <c r="C240" t="s">
        <v>79</v>
      </c>
      <c r="D240" t="s">
        <v>23</v>
      </c>
      <c r="E240" t="s">
        <v>64</v>
      </c>
      <c r="F240" t="s">
        <v>37</v>
      </c>
      <c r="G240" s="5">
        <v>9.8000000000000007</v>
      </c>
      <c r="H240" s="7">
        <v>0.47299999999999998</v>
      </c>
      <c r="I240" s="5" t="s">
        <v>38</v>
      </c>
      <c r="J240" t="s">
        <v>39</v>
      </c>
      <c r="K240" t="s">
        <v>28</v>
      </c>
      <c r="L240" t="s">
        <v>40</v>
      </c>
      <c r="M240" t="s">
        <v>72</v>
      </c>
      <c r="N240" s="8">
        <v>46265</v>
      </c>
      <c r="O240" s="8">
        <v>46272</v>
      </c>
      <c r="P240" t="s">
        <v>50</v>
      </c>
      <c r="Q240" s="8"/>
      <c r="R240" t="s">
        <v>38</v>
      </c>
      <c r="S24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4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41" spans="1:20">
      <c r="A241" t="s">
        <v>528</v>
      </c>
      <c r="B241" t="s">
        <v>529</v>
      </c>
      <c r="C241" t="s">
        <v>34</v>
      </c>
      <c r="D241" t="s">
        <v>63</v>
      </c>
      <c r="E241" t="s">
        <v>201</v>
      </c>
      <c r="F241" t="s">
        <v>202</v>
      </c>
      <c r="G241" s="5">
        <v>9.8000000000000007</v>
      </c>
      <c r="H241" s="7">
        <v>0.23400000000000001</v>
      </c>
      <c r="I241" s="5" t="s">
        <v>38</v>
      </c>
      <c r="J241" t="s">
        <v>110</v>
      </c>
      <c r="K241" t="s">
        <v>28</v>
      </c>
      <c r="L241" t="s">
        <v>54</v>
      </c>
      <c r="M241" t="s">
        <v>55</v>
      </c>
      <c r="N241" s="8">
        <v>46251</v>
      </c>
      <c r="O241" s="8">
        <v>46256</v>
      </c>
      <c r="P241" t="s">
        <v>50</v>
      </c>
      <c r="Q241" s="8"/>
      <c r="R241" t="s">
        <v>38</v>
      </c>
      <c r="S24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4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42" spans="1:20">
      <c r="A242" t="s">
        <v>530</v>
      </c>
      <c r="B242" t="s">
        <v>531</v>
      </c>
      <c r="C242" t="s">
        <v>22</v>
      </c>
      <c r="D242" t="s">
        <v>104</v>
      </c>
      <c r="E242" t="s">
        <v>142</v>
      </c>
      <c r="F242" t="s">
        <v>71</v>
      </c>
      <c r="G242" s="5">
        <v>8.8000000000000007</v>
      </c>
      <c r="H242" s="7">
        <v>0.29299999999999998</v>
      </c>
      <c r="I242" s="5" t="s">
        <v>38</v>
      </c>
      <c r="J242" t="s">
        <v>110</v>
      </c>
      <c r="K242" t="s">
        <v>28</v>
      </c>
      <c r="L242" t="s">
        <v>40</v>
      </c>
      <c r="M242" t="s">
        <v>41</v>
      </c>
      <c r="N242" s="8">
        <v>46272</v>
      </c>
      <c r="O242" s="8">
        <v>46286</v>
      </c>
      <c r="P242" t="s">
        <v>42</v>
      </c>
      <c r="Q242" s="8"/>
      <c r="R242" t="s">
        <v>38</v>
      </c>
      <c r="S24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24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43" spans="1:20">
      <c r="A243" t="s">
        <v>532</v>
      </c>
      <c r="B243" t="s">
        <v>533</v>
      </c>
      <c r="C243" t="s">
        <v>58</v>
      </c>
      <c r="D243" t="s">
        <v>84</v>
      </c>
      <c r="E243" t="s">
        <v>64</v>
      </c>
      <c r="F243" t="s">
        <v>37</v>
      </c>
      <c r="G243" s="5">
        <v>9.8000000000000007</v>
      </c>
      <c r="H243" s="7">
        <v>0.29199999999999998</v>
      </c>
      <c r="I243" s="5" t="s">
        <v>26</v>
      </c>
      <c r="J243" t="s">
        <v>39</v>
      </c>
      <c r="K243" t="s">
        <v>28</v>
      </c>
      <c r="L243" t="s">
        <v>40</v>
      </c>
      <c r="M243" t="s">
        <v>41</v>
      </c>
      <c r="N243" s="8">
        <v>46257</v>
      </c>
      <c r="O243" s="8">
        <v>46261</v>
      </c>
      <c r="P243" t="s">
        <v>42</v>
      </c>
      <c r="Q243" s="8"/>
      <c r="R243" t="s">
        <v>38</v>
      </c>
      <c r="S24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4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44" spans="1:20">
      <c r="A244" t="s">
        <v>534</v>
      </c>
      <c r="B244" t="s">
        <v>535</v>
      </c>
      <c r="C244" t="s">
        <v>34</v>
      </c>
      <c r="D244" t="s">
        <v>109</v>
      </c>
      <c r="E244" t="s">
        <v>216</v>
      </c>
      <c r="F244" t="s">
        <v>217</v>
      </c>
      <c r="G244" s="5">
        <v>9.1</v>
      </c>
      <c r="H244" s="7">
        <v>0.128</v>
      </c>
      <c r="I244" s="5" t="s">
        <v>38</v>
      </c>
      <c r="J244" t="s">
        <v>27</v>
      </c>
      <c r="K244" t="s">
        <v>28</v>
      </c>
      <c r="L244" t="s">
        <v>99</v>
      </c>
      <c r="M244" t="s">
        <v>100</v>
      </c>
      <c r="N244" s="8">
        <v>46239</v>
      </c>
      <c r="O244" s="8">
        <v>46246</v>
      </c>
      <c r="P244" t="s">
        <v>31</v>
      </c>
      <c r="Q244" s="8">
        <v>46274</v>
      </c>
      <c r="R244" t="s">
        <v>26</v>
      </c>
      <c r="S24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4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45" spans="1:20">
      <c r="A245" t="s">
        <v>536</v>
      </c>
      <c r="B245" t="s">
        <v>153</v>
      </c>
      <c r="C245" t="s">
        <v>34</v>
      </c>
      <c r="D245" t="s">
        <v>23</v>
      </c>
      <c r="E245" t="s">
        <v>116</v>
      </c>
      <c r="F245" t="s">
        <v>37</v>
      </c>
      <c r="G245" s="5">
        <v>8.1</v>
      </c>
      <c r="H245" s="7">
        <v>0.14099999999999999</v>
      </c>
      <c r="I245" s="5" t="s">
        <v>26</v>
      </c>
      <c r="J245" t="s">
        <v>39</v>
      </c>
      <c r="K245" t="s">
        <v>28</v>
      </c>
      <c r="L245" t="s">
        <v>54</v>
      </c>
      <c r="M245" t="s">
        <v>55</v>
      </c>
      <c r="N245" s="8">
        <v>46257</v>
      </c>
      <c r="O245" s="8">
        <v>46271</v>
      </c>
      <c r="P245" t="s">
        <v>101</v>
      </c>
      <c r="Q245" s="8">
        <v>46267</v>
      </c>
      <c r="R245" t="s">
        <v>38</v>
      </c>
      <c r="S24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4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46" spans="1:20">
      <c r="A246" t="s">
        <v>537</v>
      </c>
      <c r="B246" t="s">
        <v>538</v>
      </c>
      <c r="C246" t="s">
        <v>59</v>
      </c>
      <c r="D246" t="s">
        <v>35</v>
      </c>
      <c r="E246" t="s">
        <v>70</v>
      </c>
      <c r="F246" t="s">
        <v>71</v>
      </c>
      <c r="G246" s="5">
        <v>9.8000000000000007</v>
      </c>
      <c r="H246" s="7">
        <v>0.314</v>
      </c>
      <c r="I246" s="5" t="s">
        <v>38</v>
      </c>
      <c r="J246" t="s">
        <v>39</v>
      </c>
      <c r="K246" t="s">
        <v>28</v>
      </c>
      <c r="L246" t="s">
        <v>80</v>
      </c>
      <c r="M246" t="s">
        <v>81</v>
      </c>
      <c r="N246" s="8">
        <v>46275</v>
      </c>
      <c r="O246" s="8">
        <v>46278</v>
      </c>
      <c r="P246" t="s">
        <v>101</v>
      </c>
      <c r="Q246" s="8">
        <v>46293</v>
      </c>
      <c r="R246" t="s">
        <v>38</v>
      </c>
      <c r="S24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4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47" spans="1:20">
      <c r="A247" t="s">
        <v>539</v>
      </c>
      <c r="B247" t="s">
        <v>461</v>
      </c>
      <c r="C247" t="s">
        <v>34</v>
      </c>
      <c r="D247" t="s">
        <v>122</v>
      </c>
      <c r="E247" t="s">
        <v>24</v>
      </c>
      <c r="F247" t="s">
        <v>25</v>
      </c>
      <c r="G247" s="5">
        <v>10</v>
      </c>
      <c r="H247" s="7">
        <v>0.29199999999999998</v>
      </c>
      <c r="I247" s="5" t="s">
        <v>26</v>
      </c>
      <c r="J247" t="s">
        <v>110</v>
      </c>
      <c r="K247" t="s">
        <v>60</v>
      </c>
      <c r="L247" t="s">
        <v>40</v>
      </c>
      <c r="M247" t="s">
        <v>41</v>
      </c>
      <c r="N247" s="8">
        <v>46252</v>
      </c>
      <c r="O247" s="8">
        <v>46259</v>
      </c>
      <c r="P247" t="s">
        <v>42</v>
      </c>
      <c r="Q247" s="8"/>
      <c r="R247" t="s">
        <v>38</v>
      </c>
      <c r="S24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4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48" spans="1:20">
      <c r="A248" t="s">
        <v>540</v>
      </c>
      <c r="B248" t="s">
        <v>541</v>
      </c>
      <c r="C248" t="s">
        <v>58</v>
      </c>
      <c r="D248" t="s">
        <v>122</v>
      </c>
      <c r="E248" t="s">
        <v>47</v>
      </c>
      <c r="F248" t="s">
        <v>37</v>
      </c>
      <c r="G248" s="5">
        <v>10</v>
      </c>
      <c r="H248" s="7">
        <v>0.28999999999999998</v>
      </c>
      <c r="I248" s="5" t="s">
        <v>26</v>
      </c>
      <c r="J248" t="s">
        <v>39</v>
      </c>
      <c r="K248" t="s">
        <v>28</v>
      </c>
      <c r="L248" t="s">
        <v>54</v>
      </c>
      <c r="M248" t="s">
        <v>55</v>
      </c>
      <c r="N248" s="8">
        <v>46261</v>
      </c>
      <c r="O248" s="8">
        <v>46268</v>
      </c>
      <c r="P248" t="s">
        <v>42</v>
      </c>
      <c r="Q248" s="8"/>
      <c r="R248" t="s">
        <v>38</v>
      </c>
      <c r="S24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24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49" spans="1:20">
      <c r="A249" t="s">
        <v>542</v>
      </c>
      <c r="B249" t="s">
        <v>543</v>
      </c>
      <c r="C249" t="s">
        <v>79</v>
      </c>
      <c r="D249" t="s">
        <v>63</v>
      </c>
      <c r="E249" t="s">
        <v>64</v>
      </c>
      <c r="F249" t="s">
        <v>37</v>
      </c>
      <c r="G249" s="5">
        <v>9.8000000000000007</v>
      </c>
      <c r="H249" s="7">
        <v>0.28899999999999998</v>
      </c>
      <c r="I249" s="5" t="s">
        <v>26</v>
      </c>
      <c r="J249" t="s">
        <v>39</v>
      </c>
      <c r="K249" t="s">
        <v>28</v>
      </c>
      <c r="L249" t="s">
        <v>80</v>
      </c>
      <c r="M249" t="s">
        <v>96</v>
      </c>
      <c r="N249" s="8">
        <v>46270</v>
      </c>
      <c r="O249" s="8">
        <v>46277</v>
      </c>
      <c r="P249" t="s">
        <v>42</v>
      </c>
      <c r="Q249" s="8"/>
      <c r="R249" t="s">
        <v>38</v>
      </c>
      <c r="S24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4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50" spans="1:20">
      <c r="A250" t="s">
        <v>544</v>
      </c>
      <c r="B250" t="s">
        <v>545</v>
      </c>
      <c r="C250" t="s">
        <v>45</v>
      </c>
      <c r="D250" t="s">
        <v>122</v>
      </c>
      <c r="E250" t="s">
        <v>64</v>
      </c>
      <c r="F250" t="s">
        <v>37</v>
      </c>
      <c r="G250" s="5">
        <v>9.8000000000000007</v>
      </c>
      <c r="H250" s="7">
        <v>0.16300000000000001</v>
      </c>
      <c r="I250" s="5" t="s">
        <v>26</v>
      </c>
      <c r="J250" t="s">
        <v>110</v>
      </c>
      <c r="K250" t="s">
        <v>87</v>
      </c>
      <c r="L250" t="s">
        <v>99</v>
      </c>
      <c r="M250" t="s">
        <v>100</v>
      </c>
      <c r="N250" s="8">
        <v>46261</v>
      </c>
      <c r="O250" s="8">
        <v>46268</v>
      </c>
      <c r="P250" t="s">
        <v>31</v>
      </c>
      <c r="Q250" s="8">
        <v>46271</v>
      </c>
      <c r="R250" t="s">
        <v>38</v>
      </c>
      <c r="S25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5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51" spans="1:20">
      <c r="A251" t="s">
        <v>546</v>
      </c>
      <c r="B251" t="s">
        <v>547</v>
      </c>
      <c r="C251" t="s">
        <v>45</v>
      </c>
      <c r="D251" t="s">
        <v>113</v>
      </c>
      <c r="E251" t="s">
        <v>116</v>
      </c>
      <c r="F251" t="s">
        <v>37</v>
      </c>
      <c r="G251" s="5">
        <v>8.1</v>
      </c>
      <c r="H251" s="7">
        <v>0.28899999999999998</v>
      </c>
      <c r="I251" s="5" t="s">
        <v>26</v>
      </c>
      <c r="J251" t="s">
        <v>39</v>
      </c>
      <c r="K251" t="s">
        <v>60</v>
      </c>
      <c r="L251" t="s">
        <v>40</v>
      </c>
      <c r="M251" t="s">
        <v>41</v>
      </c>
      <c r="N251" s="8">
        <v>46239</v>
      </c>
      <c r="O251" s="8">
        <v>46253</v>
      </c>
      <c r="P251" t="s">
        <v>42</v>
      </c>
      <c r="Q251" s="8"/>
      <c r="R251" t="s">
        <v>38</v>
      </c>
      <c r="S25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5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52" spans="1:20">
      <c r="A252" t="s">
        <v>548</v>
      </c>
      <c r="B252" t="s">
        <v>549</v>
      </c>
      <c r="C252" t="s">
        <v>45</v>
      </c>
      <c r="D252" t="s">
        <v>84</v>
      </c>
      <c r="E252" t="s">
        <v>216</v>
      </c>
      <c r="F252" t="s">
        <v>217</v>
      </c>
      <c r="G252" s="5">
        <v>9.1</v>
      </c>
      <c r="H252" s="7">
        <v>0.28899999999999998</v>
      </c>
      <c r="I252" s="5" t="s">
        <v>38</v>
      </c>
      <c r="J252" t="s">
        <v>39</v>
      </c>
      <c r="K252" t="s">
        <v>28</v>
      </c>
      <c r="L252" t="s">
        <v>54</v>
      </c>
      <c r="M252" t="s">
        <v>55</v>
      </c>
      <c r="N252" s="8">
        <v>46246</v>
      </c>
      <c r="O252" s="8">
        <v>46253</v>
      </c>
      <c r="P252" t="s">
        <v>42</v>
      </c>
      <c r="Q252" s="8"/>
      <c r="R252" t="s">
        <v>38</v>
      </c>
      <c r="S25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5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53" spans="1:20">
      <c r="A253" t="s">
        <v>550</v>
      </c>
      <c r="B253" t="s">
        <v>551</v>
      </c>
      <c r="C253" t="s">
        <v>79</v>
      </c>
      <c r="D253" t="s">
        <v>53</v>
      </c>
      <c r="E253" t="s">
        <v>24</v>
      </c>
      <c r="F253" t="s">
        <v>25</v>
      </c>
      <c r="G253" s="5">
        <v>10</v>
      </c>
      <c r="H253" s="7">
        <v>0.13900000000000001</v>
      </c>
      <c r="I253" s="5" t="s">
        <v>38</v>
      </c>
      <c r="J253" t="s">
        <v>39</v>
      </c>
      <c r="K253" t="s">
        <v>28</v>
      </c>
      <c r="L253" t="s">
        <v>40</v>
      </c>
      <c r="M253" t="s">
        <v>72</v>
      </c>
      <c r="N253" s="8">
        <v>46270</v>
      </c>
      <c r="O253" s="8">
        <v>46277</v>
      </c>
      <c r="P253" t="s">
        <v>101</v>
      </c>
      <c r="Q253" s="8">
        <v>46287</v>
      </c>
      <c r="R253" t="s">
        <v>38</v>
      </c>
      <c r="S25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5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54" spans="1:20">
      <c r="A254" t="s">
        <v>552</v>
      </c>
      <c r="B254" t="s">
        <v>553</v>
      </c>
      <c r="C254" t="s">
        <v>22</v>
      </c>
      <c r="D254" t="s">
        <v>59</v>
      </c>
      <c r="E254" t="s">
        <v>36</v>
      </c>
      <c r="F254" t="s">
        <v>37</v>
      </c>
      <c r="G254" s="5">
        <v>9.8000000000000007</v>
      </c>
      <c r="H254" s="7">
        <v>0.28699999999999998</v>
      </c>
      <c r="I254" s="5" t="s">
        <v>38</v>
      </c>
      <c r="J254" t="s">
        <v>39</v>
      </c>
      <c r="K254" t="s">
        <v>60</v>
      </c>
      <c r="L254" t="s">
        <v>99</v>
      </c>
      <c r="M254" t="s">
        <v>100</v>
      </c>
      <c r="N254" s="8">
        <v>46270</v>
      </c>
      <c r="O254" s="8">
        <v>46277</v>
      </c>
      <c r="P254" t="s">
        <v>42</v>
      </c>
      <c r="Q254" s="8"/>
      <c r="R254" t="s">
        <v>38</v>
      </c>
      <c r="S25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5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55" spans="1:20">
      <c r="A255" t="s">
        <v>554</v>
      </c>
      <c r="B255" t="s">
        <v>555</v>
      </c>
      <c r="C255" t="s">
        <v>22</v>
      </c>
      <c r="D255" t="s">
        <v>59</v>
      </c>
      <c r="E255" t="s">
        <v>216</v>
      </c>
      <c r="F255" t="s">
        <v>217</v>
      </c>
      <c r="G255" s="5">
        <v>9.1</v>
      </c>
      <c r="H255" s="7">
        <v>0.28299999999999997</v>
      </c>
      <c r="I255" s="5" t="s">
        <v>38</v>
      </c>
      <c r="J255" t="s">
        <v>39</v>
      </c>
      <c r="K255" t="s">
        <v>87</v>
      </c>
      <c r="L255" t="s">
        <v>99</v>
      </c>
      <c r="M255" t="s">
        <v>100</v>
      </c>
      <c r="N255" s="8">
        <v>46235</v>
      </c>
      <c r="O255" s="8">
        <v>46242</v>
      </c>
      <c r="P255" t="s">
        <v>42</v>
      </c>
      <c r="Q255" s="8"/>
      <c r="R255" t="s">
        <v>38</v>
      </c>
      <c r="S25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25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56" spans="1:20">
      <c r="A256" t="s">
        <v>556</v>
      </c>
      <c r="B256" t="s">
        <v>557</v>
      </c>
      <c r="C256" t="s">
        <v>79</v>
      </c>
      <c r="D256" t="s">
        <v>109</v>
      </c>
      <c r="E256" t="s">
        <v>146</v>
      </c>
      <c r="F256" t="s">
        <v>147</v>
      </c>
      <c r="G256" s="5">
        <v>7.7</v>
      </c>
      <c r="H256" s="7">
        <v>0.34</v>
      </c>
      <c r="I256" s="5" t="s">
        <v>38</v>
      </c>
      <c r="J256" t="s">
        <v>27</v>
      </c>
      <c r="K256" t="s">
        <v>28</v>
      </c>
      <c r="L256" t="s">
        <v>54</v>
      </c>
      <c r="M256" t="s">
        <v>55</v>
      </c>
      <c r="N256" s="8">
        <v>46270</v>
      </c>
      <c r="O256" s="8">
        <v>46284</v>
      </c>
      <c r="P256" t="s">
        <v>50</v>
      </c>
      <c r="Q256" s="8"/>
      <c r="R256" t="s">
        <v>26</v>
      </c>
      <c r="S25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5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57" spans="1:20">
      <c r="A257" t="s">
        <v>558</v>
      </c>
      <c r="B257" t="s">
        <v>502</v>
      </c>
      <c r="C257" t="s">
        <v>59</v>
      </c>
      <c r="D257" t="s">
        <v>109</v>
      </c>
      <c r="E257" t="s">
        <v>36</v>
      </c>
      <c r="F257" t="s">
        <v>37</v>
      </c>
      <c r="G257" s="5">
        <v>10</v>
      </c>
      <c r="H257" s="7">
        <v>0.17399999999999999</v>
      </c>
      <c r="I257" s="5" t="s">
        <v>38</v>
      </c>
      <c r="J257" t="s">
        <v>27</v>
      </c>
      <c r="K257" t="s">
        <v>87</v>
      </c>
      <c r="L257" t="s">
        <v>80</v>
      </c>
      <c r="M257" t="s">
        <v>81</v>
      </c>
      <c r="N257" s="8">
        <v>46262</v>
      </c>
      <c r="O257" s="8">
        <v>46269</v>
      </c>
      <c r="P257" t="s">
        <v>50</v>
      </c>
      <c r="Q257" s="8"/>
      <c r="R257" t="s">
        <v>26</v>
      </c>
      <c r="S25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5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58" spans="1:20">
      <c r="A258" t="s">
        <v>559</v>
      </c>
      <c r="B258" t="s">
        <v>560</v>
      </c>
      <c r="C258" t="s">
        <v>58</v>
      </c>
      <c r="D258" t="s">
        <v>109</v>
      </c>
      <c r="E258" t="s">
        <v>47</v>
      </c>
      <c r="F258" t="s">
        <v>37</v>
      </c>
      <c r="G258" s="5">
        <v>10</v>
      </c>
      <c r="H258" s="7">
        <v>0.27800000000000002</v>
      </c>
      <c r="I258" s="5" t="s">
        <v>26</v>
      </c>
      <c r="J258" t="s">
        <v>39</v>
      </c>
      <c r="K258" t="s">
        <v>60</v>
      </c>
      <c r="L258" t="s">
        <v>48</v>
      </c>
      <c r="M258" t="s">
        <v>49</v>
      </c>
      <c r="N258" s="8">
        <v>46271</v>
      </c>
      <c r="O258" s="8">
        <v>46276</v>
      </c>
      <c r="P258" t="s">
        <v>42</v>
      </c>
      <c r="Q258" s="8"/>
      <c r="R258" t="s">
        <v>38</v>
      </c>
      <c r="S25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5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59" spans="1:20">
      <c r="A259" t="s">
        <v>561</v>
      </c>
      <c r="B259" t="s">
        <v>562</v>
      </c>
      <c r="C259" t="s">
        <v>34</v>
      </c>
      <c r="D259" t="s">
        <v>109</v>
      </c>
      <c r="E259" t="s">
        <v>64</v>
      </c>
      <c r="F259" t="s">
        <v>37</v>
      </c>
      <c r="G259" s="5">
        <v>9.8000000000000007</v>
      </c>
      <c r="H259" s="7">
        <v>0.13500000000000001</v>
      </c>
      <c r="I259" s="5" t="s">
        <v>26</v>
      </c>
      <c r="J259" t="s">
        <v>39</v>
      </c>
      <c r="K259" t="s">
        <v>87</v>
      </c>
      <c r="L259" t="s">
        <v>80</v>
      </c>
      <c r="M259" t="s">
        <v>81</v>
      </c>
      <c r="N259" s="8">
        <v>46266</v>
      </c>
      <c r="O259" s="8">
        <v>46273</v>
      </c>
      <c r="P259" t="s">
        <v>31</v>
      </c>
      <c r="Q259" s="8">
        <v>46280</v>
      </c>
      <c r="R259" t="s">
        <v>38</v>
      </c>
      <c r="S25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5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60" spans="1:20">
      <c r="A260" t="s">
        <v>563</v>
      </c>
      <c r="B260" t="s">
        <v>564</v>
      </c>
      <c r="C260" t="s">
        <v>22</v>
      </c>
      <c r="D260" t="s">
        <v>53</v>
      </c>
      <c r="E260" t="s">
        <v>201</v>
      </c>
      <c r="F260" t="s">
        <v>202</v>
      </c>
      <c r="G260" s="5">
        <v>9.8000000000000007</v>
      </c>
      <c r="H260" s="7">
        <v>0.27800000000000002</v>
      </c>
      <c r="I260" s="5" t="s">
        <v>38</v>
      </c>
      <c r="J260" t="s">
        <v>27</v>
      </c>
      <c r="K260" t="s">
        <v>28</v>
      </c>
      <c r="L260" t="s">
        <v>29</v>
      </c>
      <c r="M260" t="s">
        <v>30</v>
      </c>
      <c r="N260" s="8">
        <v>46259</v>
      </c>
      <c r="O260" s="8">
        <v>46263</v>
      </c>
      <c r="P260" t="s">
        <v>42</v>
      </c>
      <c r="Q260" s="8"/>
      <c r="R260" t="s">
        <v>26</v>
      </c>
      <c r="S26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26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61" spans="1:20">
      <c r="A261" t="s">
        <v>565</v>
      </c>
      <c r="B261" t="s">
        <v>394</v>
      </c>
      <c r="C261" t="s">
        <v>34</v>
      </c>
      <c r="D261" t="s">
        <v>46</v>
      </c>
      <c r="E261" t="s">
        <v>36</v>
      </c>
      <c r="F261" t="s">
        <v>37</v>
      </c>
      <c r="G261" s="5">
        <v>9.8000000000000007</v>
      </c>
      <c r="H261" s="7">
        <v>0.36599999999999999</v>
      </c>
      <c r="I261" s="5" t="s">
        <v>38</v>
      </c>
      <c r="J261" t="s">
        <v>39</v>
      </c>
      <c r="K261" t="s">
        <v>28</v>
      </c>
      <c r="L261" t="s">
        <v>80</v>
      </c>
      <c r="M261" t="s">
        <v>96</v>
      </c>
      <c r="N261" s="8">
        <v>46257</v>
      </c>
      <c r="O261" s="8">
        <v>46264</v>
      </c>
      <c r="P261" t="s">
        <v>50</v>
      </c>
      <c r="Q261" s="8"/>
      <c r="R261" t="s">
        <v>38</v>
      </c>
      <c r="S26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6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62" spans="1:20">
      <c r="A262" t="s">
        <v>566</v>
      </c>
      <c r="B262" t="s">
        <v>567</v>
      </c>
      <c r="C262" t="s">
        <v>59</v>
      </c>
      <c r="D262" t="s">
        <v>109</v>
      </c>
      <c r="E262" t="s">
        <v>47</v>
      </c>
      <c r="F262" t="s">
        <v>37</v>
      </c>
      <c r="G262" s="5">
        <v>10</v>
      </c>
      <c r="H262" s="7">
        <v>0.27600000000000002</v>
      </c>
      <c r="I262" s="5" t="s">
        <v>38</v>
      </c>
      <c r="J262" t="s">
        <v>27</v>
      </c>
      <c r="K262" t="s">
        <v>28</v>
      </c>
      <c r="L262" t="s">
        <v>40</v>
      </c>
      <c r="M262" t="s">
        <v>72</v>
      </c>
      <c r="N262" s="8">
        <v>46268</v>
      </c>
      <c r="O262" s="8">
        <v>46275</v>
      </c>
      <c r="P262" t="s">
        <v>42</v>
      </c>
      <c r="Q262" s="8"/>
      <c r="R262" t="s">
        <v>26</v>
      </c>
      <c r="S26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6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63" spans="1:20">
      <c r="A263" t="s">
        <v>568</v>
      </c>
      <c r="B263" t="s">
        <v>569</v>
      </c>
      <c r="C263" t="s">
        <v>59</v>
      </c>
      <c r="D263" t="s">
        <v>46</v>
      </c>
      <c r="E263" t="s">
        <v>70</v>
      </c>
      <c r="F263" t="s">
        <v>71</v>
      </c>
      <c r="G263" s="5">
        <v>9.8000000000000007</v>
      </c>
      <c r="H263" s="7">
        <v>0.27600000000000002</v>
      </c>
      <c r="I263" s="5" t="s">
        <v>26</v>
      </c>
      <c r="J263" t="s">
        <v>39</v>
      </c>
      <c r="K263" t="s">
        <v>87</v>
      </c>
      <c r="L263" t="s">
        <v>75</v>
      </c>
      <c r="M263" t="s">
        <v>129</v>
      </c>
      <c r="N263" s="8">
        <v>46260</v>
      </c>
      <c r="O263" s="8">
        <v>46267</v>
      </c>
      <c r="P263" t="s">
        <v>42</v>
      </c>
      <c r="Q263" s="8"/>
      <c r="R263" t="s">
        <v>38</v>
      </c>
      <c r="S26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26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64" spans="1:20">
      <c r="A264" t="s">
        <v>570</v>
      </c>
      <c r="B264" t="s">
        <v>226</v>
      </c>
      <c r="C264" t="s">
        <v>45</v>
      </c>
      <c r="D264" t="s">
        <v>90</v>
      </c>
      <c r="E264" t="s">
        <v>70</v>
      </c>
      <c r="F264" t="s">
        <v>71</v>
      </c>
      <c r="G264" s="5">
        <v>9.8000000000000007</v>
      </c>
      <c r="H264" s="7">
        <v>0.36099999999999999</v>
      </c>
      <c r="I264" s="5" t="s">
        <v>38</v>
      </c>
      <c r="J264" t="s">
        <v>39</v>
      </c>
      <c r="K264" t="s">
        <v>28</v>
      </c>
      <c r="L264" t="s">
        <v>99</v>
      </c>
      <c r="M264" t="s">
        <v>100</v>
      </c>
      <c r="N264" s="8">
        <v>46242</v>
      </c>
      <c r="O264" s="8">
        <v>46249</v>
      </c>
      <c r="P264" t="s">
        <v>50</v>
      </c>
      <c r="Q264" s="8"/>
      <c r="R264" t="s">
        <v>38</v>
      </c>
      <c r="S26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6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65" spans="1:20">
      <c r="A265" t="s">
        <v>571</v>
      </c>
      <c r="B265" t="s">
        <v>572</v>
      </c>
      <c r="C265" t="s">
        <v>79</v>
      </c>
      <c r="D265" t="s">
        <v>59</v>
      </c>
      <c r="E265" t="s">
        <v>201</v>
      </c>
      <c r="F265" t="s">
        <v>202</v>
      </c>
      <c r="G265" s="5">
        <v>9.8000000000000007</v>
      </c>
      <c r="H265" s="7">
        <v>0.27600000000000002</v>
      </c>
      <c r="I265" s="5" t="s">
        <v>38</v>
      </c>
      <c r="J265" t="s">
        <v>39</v>
      </c>
      <c r="K265" t="s">
        <v>28</v>
      </c>
      <c r="L265" t="s">
        <v>80</v>
      </c>
      <c r="M265" t="s">
        <v>81</v>
      </c>
      <c r="N265" s="8">
        <v>46237</v>
      </c>
      <c r="O265" s="8">
        <v>46241</v>
      </c>
      <c r="P265" t="s">
        <v>42</v>
      </c>
      <c r="Q265" s="8"/>
      <c r="R265" t="s">
        <v>38</v>
      </c>
      <c r="S26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6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66" spans="1:20">
      <c r="A266" t="s">
        <v>573</v>
      </c>
      <c r="B266" t="s">
        <v>184</v>
      </c>
      <c r="C266" t="s">
        <v>45</v>
      </c>
      <c r="D266" t="s">
        <v>104</v>
      </c>
      <c r="E266" t="s">
        <v>64</v>
      </c>
      <c r="F266" t="s">
        <v>37</v>
      </c>
      <c r="G266" s="5">
        <v>9.8000000000000007</v>
      </c>
      <c r="H266" s="7">
        <v>0.27500000000000002</v>
      </c>
      <c r="I266" s="5" t="s">
        <v>26</v>
      </c>
      <c r="J266" t="s">
        <v>110</v>
      </c>
      <c r="K266" t="s">
        <v>60</v>
      </c>
      <c r="L266" t="s">
        <v>99</v>
      </c>
      <c r="M266" t="s">
        <v>100</v>
      </c>
      <c r="N266" s="8">
        <v>46273</v>
      </c>
      <c r="O266" s="8">
        <v>46280</v>
      </c>
      <c r="P266" t="s">
        <v>42</v>
      </c>
      <c r="Q266" s="8"/>
      <c r="R266" t="s">
        <v>38</v>
      </c>
      <c r="S26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26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67" spans="1:20">
      <c r="A267" t="s">
        <v>574</v>
      </c>
      <c r="B267" t="s">
        <v>396</v>
      </c>
      <c r="C267" t="s">
        <v>45</v>
      </c>
      <c r="D267" t="s">
        <v>59</v>
      </c>
      <c r="E267" t="s">
        <v>146</v>
      </c>
      <c r="F267" t="s">
        <v>147</v>
      </c>
      <c r="G267" s="5">
        <v>7.5</v>
      </c>
      <c r="H267" s="7">
        <v>0.27500000000000002</v>
      </c>
      <c r="I267" s="5" t="s">
        <v>38</v>
      </c>
      <c r="J267" t="s">
        <v>110</v>
      </c>
      <c r="K267" t="s">
        <v>28</v>
      </c>
      <c r="L267" t="s">
        <v>99</v>
      </c>
      <c r="M267" t="s">
        <v>100</v>
      </c>
      <c r="N267" s="8">
        <v>46272</v>
      </c>
      <c r="O267" s="8">
        <v>46284</v>
      </c>
      <c r="P267" t="s">
        <v>42</v>
      </c>
      <c r="Q267" s="8"/>
      <c r="R267" t="s">
        <v>38</v>
      </c>
      <c r="S26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26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68" spans="1:20">
      <c r="A268" t="s">
        <v>575</v>
      </c>
      <c r="B268" t="s">
        <v>576</v>
      </c>
      <c r="C268" t="s">
        <v>58</v>
      </c>
      <c r="D268" t="s">
        <v>109</v>
      </c>
      <c r="E268" t="s">
        <v>24</v>
      </c>
      <c r="F268" t="s">
        <v>25</v>
      </c>
      <c r="G268" s="5">
        <v>10</v>
      </c>
      <c r="H268" s="7">
        <v>0.27400000000000002</v>
      </c>
      <c r="I268" s="5" t="s">
        <v>26</v>
      </c>
      <c r="J268" t="s">
        <v>27</v>
      </c>
      <c r="K268" t="s">
        <v>60</v>
      </c>
      <c r="L268" t="s">
        <v>54</v>
      </c>
      <c r="M268" t="s">
        <v>55</v>
      </c>
      <c r="N268" s="8">
        <v>46271</v>
      </c>
      <c r="O268" s="8">
        <v>46276</v>
      </c>
      <c r="P268" t="s">
        <v>42</v>
      </c>
      <c r="Q268" s="8"/>
      <c r="R268" t="s">
        <v>26</v>
      </c>
      <c r="S26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6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269" spans="1:20">
      <c r="A269" t="s">
        <v>577</v>
      </c>
      <c r="B269" t="s">
        <v>578</v>
      </c>
      <c r="C269" t="s">
        <v>45</v>
      </c>
      <c r="D269" t="s">
        <v>90</v>
      </c>
      <c r="E269" t="s">
        <v>47</v>
      </c>
      <c r="F269" t="s">
        <v>37</v>
      </c>
      <c r="G269" s="5">
        <v>10</v>
      </c>
      <c r="H269" s="7">
        <v>0.44900000000000001</v>
      </c>
      <c r="I269" s="5" t="s">
        <v>38</v>
      </c>
      <c r="J269" t="s">
        <v>39</v>
      </c>
      <c r="K269" t="s">
        <v>60</v>
      </c>
      <c r="L269" t="s">
        <v>29</v>
      </c>
      <c r="M269" t="s">
        <v>65</v>
      </c>
      <c r="N269" s="8">
        <v>46246</v>
      </c>
      <c r="O269" s="8">
        <v>46253</v>
      </c>
      <c r="P269" t="s">
        <v>101</v>
      </c>
      <c r="Q269" s="8">
        <v>46269</v>
      </c>
      <c r="R269" t="s">
        <v>38</v>
      </c>
      <c r="S26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6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70" spans="1:20">
      <c r="A270" t="s">
        <v>579</v>
      </c>
      <c r="B270" t="s">
        <v>580</v>
      </c>
      <c r="C270" t="s">
        <v>34</v>
      </c>
      <c r="D270" t="s">
        <v>35</v>
      </c>
      <c r="E270" t="s">
        <v>201</v>
      </c>
      <c r="F270" t="s">
        <v>202</v>
      </c>
      <c r="G270" s="5">
        <v>9.8000000000000007</v>
      </c>
      <c r="H270" s="7">
        <v>0.26600000000000001</v>
      </c>
      <c r="I270" s="5" t="s">
        <v>38</v>
      </c>
      <c r="J270" t="s">
        <v>39</v>
      </c>
      <c r="K270" t="s">
        <v>28</v>
      </c>
      <c r="L270" t="s">
        <v>75</v>
      </c>
      <c r="M270" t="s">
        <v>76</v>
      </c>
      <c r="N270" s="8">
        <v>46270</v>
      </c>
      <c r="O270" s="8">
        <v>46277</v>
      </c>
      <c r="P270" t="s">
        <v>42</v>
      </c>
      <c r="Q270" s="8"/>
      <c r="R270" t="s">
        <v>38</v>
      </c>
      <c r="S27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7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71" spans="1:20">
      <c r="A271" t="s">
        <v>581</v>
      </c>
      <c r="B271" t="s">
        <v>582</v>
      </c>
      <c r="C271" t="s">
        <v>59</v>
      </c>
      <c r="D271" t="s">
        <v>53</v>
      </c>
      <c r="E271" t="s">
        <v>201</v>
      </c>
      <c r="F271" t="s">
        <v>202</v>
      </c>
      <c r="G271" s="5">
        <v>9.8000000000000007</v>
      </c>
      <c r="H271" s="7">
        <v>0.59499999999999997</v>
      </c>
      <c r="I271" s="5" t="s">
        <v>38</v>
      </c>
      <c r="J271" t="s">
        <v>110</v>
      </c>
      <c r="K271" t="s">
        <v>60</v>
      </c>
      <c r="L271" t="s">
        <v>29</v>
      </c>
      <c r="M271" t="s">
        <v>30</v>
      </c>
      <c r="N271" s="8">
        <v>46241</v>
      </c>
      <c r="O271" s="8">
        <v>46248</v>
      </c>
      <c r="P271" t="s">
        <v>31</v>
      </c>
      <c r="Q271" s="8">
        <v>46257</v>
      </c>
      <c r="R271" t="s">
        <v>38</v>
      </c>
      <c r="S27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7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72" spans="1:20">
      <c r="A272" t="s">
        <v>583</v>
      </c>
      <c r="B272" t="s">
        <v>584</v>
      </c>
      <c r="C272" t="s">
        <v>58</v>
      </c>
      <c r="D272" t="s">
        <v>104</v>
      </c>
      <c r="E272" t="s">
        <v>216</v>
      </c>
      <c r="F272" t="s">
        <v>217</v>
      </c>
      <c r="G272" s="5">
        <v>9.1</v>
      </c>
      <c r="H272" s="7">
        <v>0.14399999999999999</v>
      </c>
      <c r="I272" s="5" t="s">
        <v>38</v>
      </c>
      <c r="J272" t="s">
        <v>27</v>
      </c>
      <c r="K272" t="s">
        <v>28</v>
      </c>
      <c r="L272" t="s">
        <v>54</v>
      </c>
      <c r="M272" t="s">
        <v>55</v>
      </c>
      <c r="N272" s="8">
        <v>46261</v>
      </c>
      <c r="O272" s="8">
        <v>46268</v>
      </c>
      <c r="P272" t="s">
        <v>31</v>
      </c>
      <c r="Q272" s="8">
        <v>46295</v>
      </c>
      <c r="R272" t="s">
        <v>26</v>
      </c>
      <c r="S27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7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73" spans="1:20">
      <c r="A273" t="s">
        <v>585</v>
      </c>
      <c r="B273" t="s">
        <v>586</v>
      </c>
      <c r="C273" t="s">
        <v>34</v>
      </c>
      <c r="D273" t="s">
        <v>46</v>
      </c>
      <c r="E273" t="s">
        <v>47</v>
      </c>
      <c r="F273" t="s">
        <v>37</v>
      </c>
      <c r="G273" s="5">
        <v>10</v>
      </c>
      <c r="H273" s="7">
        <v>0.14199999999999999</v>
      </c>
      <c r="I273" s="5" t="s">
        <v>38</v>
      </c>
      <c r="J273" t="s">
        <v>39</v>
      </c>
      <c r="K273" t="s">
        <v>28</v>
      </c>
      <c r="L273" t="s">
        <v>48</v>
      </c>
      <c r="M273" t="s">
        <v>49</v>
      </c>
      <c r="N273" s="8">
        <v>46269</v>
      </c>
      <c r="O273" s="8">
        <v>46276</v>
      </c>
      <c r="P273" t="s">
        <v>31</v>
      </c>
      <c r="Q273" s="8">
        <v>46298</v>
      </c>
      <c r="R273" t="s">
        <v>38</v>
      </c>
      <c r="S27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7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74" spans="1:20">
      <c r="A274" t="s">
        <v>587</v>
      </c>
      <c r="B274" t="s">
        <v>588</v>
      </c>
      <c r="C274" t="s">
        <v>34</v>
      </c>
      <c r="D274" t="s">
        <v>122</v>
      </c>
      <c r="E274" t="s">
        <v>64</v>
      </c>
      <c r="F274" t="s">
        <v>37</v>
      </c>
      <c r="G274" s="5">
        <v>9.8000000000000007</v>
      </c>
      <c r="H274" s="7">
        <v>0.14599999999999999</v>
      </c>
      <c r="I274" s="5" t="s">
        <v>26</v>
      </c>
      <c r="J274" t="s">
        <v>39</v>
      </c>
      <c r="K274" t="s">
        <v>87</v>
      </c>
      <c r="L274" t="s">
        <v>48</v>
      </c>
      <c r="M274" t="s">
        <v>49</v>
      </c>
      <c r="N274" s="8">
        <v>46247</v>
      </c>
      <c r="O274" s="8">
        <v>46254</v>
      </c>
      <c r="P274" t="s">
        <v>50</v>
      </c>
      <c r="Q274" s="8"/>
      <c r="R274" t="s">
        <v>38</v>
      </c>
      <c r="S27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7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75" spans="1:20">
      <c r="A275" t="s">
        <v>589</v>
      </c>
      <c r="B275" t="s">
        <v>590</v>
      </c>
      <c r="C275" t="s">
        <v>59</v>
      </c>
      <c r="D275" t="s">
        <v>113</v>
      </c>
      <c r="E275" t="s">
        <v>36</v>
      </c>
      <c r="F275" t="s">
        <v>37</v>
      </c>
      <c r="G275" s="5">
        <v>9.8000000000000007</v>
      </c>
      <c r="H275" s="7">
        <v>0.255</v>
      </c>
      <c r="I275" s="5" t="s">
        <v>38</v>
      </c>
      <c r="J275" t="s">
        <v>39</v>
      </c>
      <c r="K275" t="s">
        <v>60</v>
      </c>
      <c r="L275" t="s">
        <v>99</v>
      </c>
      <c r="M275" t="s">
        <v>100</v>
      </c>
      <c r="N275" s="8">
        <v>46272</v>
      </c>
      <c r="O275" s="8">
        <v>46279</v>
      </c>
      <c r="P275" t="s">
        <v>42</v>
      </c>
      <c r="Q275" s="8"/>
      <c r="R275" t="s">
        <v>38</v>
      </c>
      <c r="S27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7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76" spans="1:20">
      <c r="A276" t="s">
        <v>591</v>
      </c>
      <c r="B276" t="s">
        <v>592</v>
      </c>
      <c r="C276" t="s">
        <v>22</v>
      </c>
      <c r="D276" t="s">
        <v>84</v>
      </c>
      <c r="E276" t="s">
        <v>216</v>
      </c>
      <c r="F276" t="s">
        <v>217</v>
      </c>
      <c r="G276" s="5">
        <v>9.1</v>
      </c>
      <c r="H276" s="7">
        <v>0.75700000000000001</v>
      </c>
      <c r="I276" s="5" t="s">
        <v>38</v>
      </c>
      <c r="J276" t="s">
        <v>39</v>
      </c>
      <c r="K276" t="s">
        <v>28</v>
      </c>
      <c r="L276" t="s">
        <v>48</v>
      </c>
      <c r="M276" t="s">
        <v>132</v>
      </c>
      <c r="N276" s="8">
        <v>46239</v>
      </c>
      <c r="O276" s="8">
        <v>46246</v>
      </c>
      <c r="P276" t="s">
        <v>50</v>
      </c>
      <c r="Q276" s="8"/>
      <c r="R276" t="s">
        <v>38</v>
      </c>
      <c r="S27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7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77" spans="1:20">
      <c r="A277" t="s">
        <v>593</v>
      </c>
      <c r="B277" t="s">
        <v>594</v>
      </c>
      <c r="C277" t="s">
        <v>34</v>
      </c>
      <c r="D277" t="s">
        <v>104</v>
      </c>
      <c r="E277" t="s">
        <v>125</v>
      </c>
      <c r="F277" t="s">
        <v>126</v>
      </c>
      <c r="G277" s="5">
        <v>9</v>
      </c>
      <c r="H277" s="7">
        <v>0.254</v>
      </c>
      <c r="I277" s="5" t="s">
        <v>38</v>
      </c>
      <c r="J277" t="s">
        <v>27</v>
      </c>
      <c r="K277" t="s">
        <v>87</v>
      </c>
      <c r="L277" t="s">
        <v>54</v>
      </c>
      <c r="M277" t="s">
        <v>55</v>
      </c>
      <c r="N277" s="8">
        <v>46265</v>
      </c>
      <c r="O277" s="8">
        <v>46269</v>
      </c>
      <c r="P277" t="s">
        <v>42</v>
      </c>
      <c r="Q277" s="8"/>
      <c r="R277" t="s">
        <v>26</v>
      </c>
      <c r="S27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7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78" spans="1:20">
      <c r="A278" t="s">
        <v>595</v>
      </c>
      <c r="B278" t="s">
        <v>596</v>
      </c>
      <c r="C278" t="s">
        <v>79</v>
      </c>
      <c r="D278" t="s">
        <v>63</v>
      </c>
      <c r="E278" t="s">
        <v>201</v>
      </c>
      <c r="F278" t="s">
        <v>202</v>
      </c>
      <c r="G278" s="5">
        <v>9.8000000000000007</v>
      </c>
      <c r="H278" s="7">
        <v>0.23200000000000001</v>
      </c>
      <c r="I278" s="5" t="s">
        <v>38</v>
      </c>
      <c r="J278" t="s">
        <v>39</v>
      </c>
      <c r="K278" t="s">
        <v>28</v>
      </c>
      <c r="L278" t="s">
        <v>29</v>
      </c>
      <c r="M278" t="s">
        <v>30</v>
      </c>
      <c r="N278" s="8">
        <v>46251</v>
      </c>
      <c r="O278" s="8">
        <v>46258</v>
      </c>
      <c r="P278" t="s">
        <v>50</v>
      </c>
      <c r="Q278" s="8"/>
      <c r="R278" t="s">
        <v>38</v>
      </c>
      <c r="S27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27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79" spans="1:20">
      <c r="A279" t="s">
        <v>597</v>
      </c>
      <c r="B279" t="s">
        <v>541</v>
      </c>
      <c r="C279" t="s">
        <v>58</v>
      </c>
      <c r="D279" t="s">
        <v>35</v>
      </c>
      <c r="E279" t="s">
        <v>36</v>
      </c>
      <c r="F279" t="s">
        <v>37</v>
      </c>
      <c r="G279" s="5">
        <v>9.8000000000000007</v>
      </c>
      <c r="H279" s="7">
        <v>0.254</v>
      </c>
      <c r="I279" s="5" t="s">
        <v>38</v>
      </c>
      <c r="J279" t="s">
        <v>39</v>
      </c>
      <c r="K279" t="s">
        <v>60</v>
      </c>
      <c r="L279" t="s">
        <v>29</v>
      </c>
      <c r="M279" t="s">
        <v>65</v>
      </c>
      <c r="N279" s="8">
        <v>46236</v>
      </c>
      <c r="O279" s="8">
        <v>46243</v>
      </c>
      <c r="P279" t="s">
        <v>42</v>
      </c>
      <c r="Q279" s="8"/>
      <c r="R279" t="s">
        <v>38</v>
      </c>
      <c r="S27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7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80" spans="1:20">
      <c r="A280" t="s">
        <v>598</v>
      </c>
      <c r="B280" t="s">
        <v>599</v>
      </c>
      <c r="C280" t="s">
        <v>45</v>
      </c>
      <c r="D280" t="s">
        <v>104</v>
      </c>
      <c r="E280" t="s">
        <v>47</v>
      </c>
      <c r="F280" t="s">
        <v>37</v>
      </c>
      <c r="G280" s="5">
        <v>10</v>
      </c>
      <c r="H280" s="7">
        <v>0.252</v>
      </c>
      <c r="I280" s="5" t="s">
        <v>38</v>
      </c>
      <c r="J280" t="s">
        <v>27</v>
      </c>
      <c r="K280" t="s">
        <v>28</v>
      </c>
      <c r="L280" t="s">
        <v>99</v>
      </c>
      <c r="M280" t="s">
        <v>100</v>
      </c>
      <c r="N280" s="8">
        <v>46242</v>
      </c>
      <c r="O280" s="8">
        <v>46249</v>
      </c>
      <c r="P280" t="s">
        <v>42</v>
      </c>
      <c r="Q280" s="8"/>
      <c r="R280" t="s">
        <v>26</v>
      </c>
      <c r="S28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8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81" spans="1:20">
      <c r="A281" t="s">
        <v>600</v>
      </c>
      <c r="B281" t="s">
        <v>601</v>
      </c>
      <c r="C281" t="s">
        <v>22</v>
      </c>
      <c r="D281" t="s">
        <v>23</v>
      </c>
      <c r="E281" t="s">
        <v>70</v>
      </c>
      <c r="F281" t="s">
        <v>71</v>
      </c>
      <c r="G281" s="5">
        <v>9.8000000000000007</v>
      </c>
      <c r="H281" s="7">
        <v>0.249</v>
      </c>
      <c r="I281" s="5" t="s">
        <v>26</v>
      </c>
      <c r="J281" t="s">
        <v>27</v>
      </c>
      <c r="K281" t="s">
        <v>28</v>
      </c>
      <c r="L281" t="s">
        <v>40</v>
      </c>
      <c r="M281" t="s">
        <v>41</v>
      </c>
      <c r="N281" s="8">
        <v>46266</v>
      </c>
      <c r="O281" s="8">
        <v>46273</v>
      </c>
      <c r="P281" t="s">
        <v>42</v>
      </c>
      <c r="Q281" s="8"/>
      <c r="R281" t="s">
        <v>26</v>
      </c>
      <c r="S28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28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282" spans="1:20">
      <c r="A282" t="s">
        <v>602</v>
      </c>
      <c r="B282" t="s">
        <v>198</v>
      </c>
      <c r="C282" t="s">
        <v>58</v>
      </c>
      <c r="D282" t="s">
        <v>122</v>
      </c>
      <c r="E282" t="s">
        <v>216</v>
      </c>
      <c r="F282" t="s">
        <v>217</v>
      </c>
      <c r="G282" s="5">
        <v>9.1</v>
      </c>
      <c r="H282" s="7">
        <v>0.248</v>
      </c>
      <c r="I282" s="5" t="s">
        <v>38</v>
      </c>
      <c r="J282" t="s">
        <v>110</v>
      </c>
      <c r="K282" t="s">
        <v>28</v>
      </c>
      <c r="L282" t="s">
        <v>80</v>
      </c>
      <c r="M282" t="s">
        <v>96</v>
      </c>
      <c r="N282" s="8">
        <v>46237</v>
      </c>
      <c r="O282" s="8">
        <v>46244</v>
      </c>
      <c r="P282" t="s">
        <v>42</v>
      </c>
      <c r="Q282" s="8"/>
      <c r="R282" t="s">
        <v>38</v>
      </c>
      <c r="S28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283" spans="1:20">
      <c r="A283" t="s">
        <v>603</v>
      </c>
      <c r="B283" t="s">
        <v>604</v>
      </c>
      <c r="C283" t="s">
        <v>34</v>
      </c>
      <c r="D283" t="s">
        <v>113</v>
      </c>
      <c r="E283" t="s">
        <v>36</v>
      </c>
      <c r="F283" t="s">
        <v>37</v>
      </c>
      <c r="G283" s="5">
        <v>9.8000000000000007</v>
      </c>
      <c r="H283" s="7">
        <v>0.123</v>
      </c>
      <c r="I283" s="5" t="s">
        <v>38</v>
      </c>
      <c r="J283" t="s">
        <v>110</v>
      </c>
      <c r="K283" t="s">
        <v>28</v>
      </c>
      <c r="L283" t="s">
        <v>75</v>
      </c>
      <c r="M283" t="s">
        <v>76</v>
      </c>
      <c r="N283" s="8">
        <v>46269</v>
      </c>
      <c r="O283" s="8">
        <v>46276</v>
      </c>
      <c r="P283" t="s">
        <v>50</v>
      </c>
      <c r="Q283" s="8"/>
      <c r="R283" t="s">
        <v>38</v>
      </c>
      <c r="S28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84" spans="1:20">
      <c r="A284" t="s">
        <v>605</v>
      </c>
      <c r="B284" t="s">
        <v>606</v>
      </c>
      <c r="C284" t="s">
        <v>59</v>
      </c>
      <c r="D284" t="s">
        <v>109</v>
      </c>
      <c r="E284" t="s">
        <v>125</v>
      </c>
      <c r="F284" t="s">
        <v>126</v>
      </c>
      <c r="G284" s="5">
        <v>8.6</v>
      </c>
      <c r="H284" s="7">
        <v>0.48399999999999999</v>
      </c>
      <c r="I284" s="5" t="s">
        <v>38</v>
      </c>
      <c r="J284" t="s">
        <v>27</v>
      </c>
      <c r="K284" t="s">
        <v>60</v>
      </c>
      <c r="L284" t="s">
        <v>54</v>
      </c>
      <c r="M284" t="s">
        <v>55</v>
      </c>
      <c r="N284" s="8">
        <v>46253</v>
      </c>
      <c r="O284" s="8">
        <v>46264</v>
      </c>
      <c r="P284" t="s">
        <v>31</v>
      </c>
      <c r="Q284" s="8">
        <v>46288</v>
      </c>
      <c r="R284" t="s">
        <v>26</v>
      </c>
      <c r="S28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85" spans="1:20">
      <c r="A285" t="s">
        <v>607</v>
      </c>
      <c r="B285" t="s">
        <v>608</v>
      </c>
      <c r="C285" t="s">
        <v>34</v>
      </c>
      <c r="D285" t="s">
        <v>35</v>
      </c>
      <c r="E285" t="s">
        <v>146</v>
      </c>
      <c r="F285" t="s">
        <v>147</v>
      </c>
      <c r="G285" s="5">
        <v>7.5</v>
      </c>
      <c r="H285" s="7">
        <v>6.9000000000000006E-2</v>
      </c>
      <c r="I285" s="5" t="s">
        <v>38</v>
      </c>
      <c r="J285" t="s">
        <v>27</v>
      </c>
      <c r="K285" t="s">
        <v>28</v>
      </c>
      <c r="L285" t="s">
        <v>80</v>
      </c>
      <c r="M285" t="s">
        <v>96</v>
      </c>
      <c r="N285" s="8">
        <v>46273</v>
      </c>
      <c r="O285" s="8">
        <v>46284</v>
      </c>
      <c r="P285" t="s">
        <v>101</v>
      </c>
      <c r="Q285" s="8">
        <v>46288</v>
      </c>
      <c r="R285" t="s">
        <v>26</v>
      </c>
      <c r="S28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86" spans="1:20">
      <c r="A286" t="s">
        <v>609</v>
      </c>
      <c r="B286" t="s">
        <v>610</v>
      </c>
      <c r="C286" t="s">
        <v>59</v>
      </c>
      <c r="D286" t="s">
        <v>23</v>
      </c>
      <c r="E286" t="s">
        <v>142</v>
      </c>
      <c r="F286" t="s">
        <v>71</v>
      </c>
      <c r="G286" s="5">
        <v>8.8000000000000007</v>
      </c>
      <c r="H286" s="7">
        <v>8.6999999999999994E-2</v>
      </c>
      <c r="I286" s="5" t="s">
        <v>38</v>
      </c>
      <c r="J286" t="s">
        <v>27</v>
      </c>
      <c r="K286" t="s">
        <v>28</v>
      </c>
      <c r="L286" t="s">
        <v>48</v>
      </c>
      <c r="M286" t="s">
        <v>132</v>
      </c>
      <c r="N286" s="8">
        <v>46244</v>
      </c>
      <c r="O286" s="8">
        <v>46258</v>
      </c>
      <c r="P286" t="s">
        <v>50</v>
      </c>
      <c r="Q286" s="8"/>
      <c r="R286" t="s">
        <v>26</v>
      </c>
      <c r="S28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87" spans="1:20">
      <c r="A287" t="s">
        <v>611</v>
      </c>
      <c r="B287" t="s">
        <v>612</v>
      </c>
      <c r="C287" t="s">
        <v>22</v>
      </c>
      <c r="D287" t="s">
        <v>46</v>
      </c>
      <c r="E287" t="s">
        <v>216</v>
      </c>
      <c r="F287" t="s">
        <v>217</v>
      </c>
      <c r="G287" s="5">
        <v>9.1</v>
      </c>
      <c r="H287" s="7">
        <v>0.42299999999999999</v>
      </c>
      <c r="I287" s="5" t="s">
        <v>38</v>
      </c>
      <c r="J287" t="s">
        <v>27</v>
      </c>
      <c r="K287" t="s">
        <v>87</v>
      </c>
      <c r="L287" t="s">
        <v>29</v>
      </c>
      <c r="M287" t="s">
        <v>65</v>
      </c>
      <c r="N287" s="8">
        <v>46236</v>
      </c>
      <c r="O287" s="8">
        <v>46240</v>
      </c>
      <c r="P287" t="s">
        <v>101</v>
      </c>
      <c r="Q287" s="8">
        <v>46264</v>
      </c>
      <c r="R287" t="s">
        <v>26</v>
      </c>
      <c r="S28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88" spans="1:20">
      <c r="A288" t="s">
        <v>613</v>
      </c>
      <c r="B288" t="s">
        <v>431</v>
      </c>
      <c r="C288" t="s">
        <v>34</v>
      </c>
      <c r="D288" t="s">
        <v>109</v>
      </c>
      <c r="E288" t="s">
        <v>119</v>
      </c>
      <c r="F288" t="s">
        <v>37</v>
      </c>
      <c r="G288" s="5">
        <v>7.8</v>
      </c>
      <c r="H288" s="7">
        <v>0.31900000000000001</v>
      </c>
      <c r="I288" s="5" t="s">
        <v>38</v>
      </c>
      <c r="J288" t="s">
        <v>27</v>
      </c>
      <c r="K288" t="s">
        <v>60</v>
      </c>
      <c r="L288" t="s">
        <v>99</v>
      </c>
      <c r="M288" t="s">
        <v>100</v>
      </c>
      <c r="N288" s="8">
        <v>46264</v>
      </c>
      <c r="O288" s="8">
        <v>46278</v>
      </c>
      <c r="P288" t="s">
        <v>91</v>
      </c>
      <c r="Q288" s="8"/>
      <c r="R288" t="s">
        <v>26</v>
      </c>
      <c r="S28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89" spans="1:20">
      <c r="A289" t="s">
        <v>614</v>
      </c>
      <c r="B289" t="s">
        <v>337</v>
      </c>
      <c r="C289" t="s">
        <v>58</v>
      </c>
      <c r="D289" t="s">
        <v>104</v>
      </c>
      <c r="E289" t="s">
        <v>47</v>
      </c>
      <c r="F289" t="s">
        <v>37</v>
      </c>
      <c r="G289" s="5">
        <v>10</v>
      </c>
      <c r="H289" s="7">
        <v>0.14399999999999999</v>
      </c>
      <c r="I289" s="5" t="s">
        <v>38</v>
      </c>
      <c r="J289" t="s">
        <v>39</v>
      </c>
      <c r="K289" t="s">
        <v>60</v>
      </c>
      <c r="L289" t="s">
        <v>48</v>
      </c>
      <c r="M289" t="s">
        <v>49</v>
      </c>
      <c r="N289" s="8">
        <v>46253</v>
      </c>
      <c r="O289" s="8">
        <v>46260</v>
      </c>
      <c r="P289" t="s">
        <v>101</v>
      </c>
      <c r="Q289" s="8">
        <v>46276</v>
      </c>
      <c r="R289" t="s">
        <v>38</v>
      </c>
      <c r="S28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8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90" spans="1:20">
      <c r="A290" t="s">
        <v>615</v>
      </c>
      <c r="B290" t="s">
        <v>616</v>
      </c>
      <c r="C290" t="s">
        <v>34</v>
      </c>
      <c r="D290" t="s">
        <v>109</v>
      </c>
      <c r="E290" t="s">
        <v>119</v>
      </c>
      <c r="F290" t="s">
        <v>37</v>
      </c>
      <c r="G290" s="5">
        <v>7.8</v>
      </c>
      <c r="H290" s="7">
        <v>0.248</v>
      </c>
      <c r="I290" s="5" t="s">
        <v>38</v>
      </c>
      <c r="J290" t="s">
        <v>39</v>
      </c>
      <c r="K290" t="s">
        <v>28</v>
      </c>
      <c r="L290" t="s">
        <v>99</v>
      </c>
      <c r="M290" t="s">
        <v>100</v>
      </c>
      <c r="N290" s="8">
        <v>46243</v>
      </c>
      <c r="O290" s="8">
        <v>46257</v>
      </c>
      <c r="P290" t="s">
        <v>42</v>
      </c>
      <c r="Q290" s="8"/>
      <c r="R290" t="s">
        <v>38</v>
      </c>
      <c r="S29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29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91" spans="1:20">
      <c r="A291" t="s">
        <v>617</v>
      </c>
      <c r="B291" t="s">
        <v>234</v>
      </c>
      <c r="C291" t="s">
        <v>58</v>
      </c>
      <c r="D291" t="s">
        <v>109</v>
      </c>
      <c r="E291" t="s">
        <v>119</v>
      </c>
      <c r="F291" t="s">
        <v>37</v>
      </c>
      <c r="G291" s="5">
        <v>7.8</v>
      </c>
      <c r="H291" s="7">
        <v>0.247</v>
      </c>
      <c r="I291" s="5" t="s">
        <v>38</v>
      </c>
      <c r="J291" t="s">
        <v>39</v>
      </c>
      <c r="K291" t="s">
        <v>28</v>
      </c>
      <c r="L291" t="s">
        <v>75</v>
      </c>
      <c r="M291" t="s">
        <v>76</v>
      </c>
      <c r="N291" s="8">
        <v>46270</v>
      </c>
      <c r="O291" s="8">
        <v>46281</v>
      </c>
      <c r="P291" t="s">
        <v>42</v>
      </c>
      <c r="Q291" s="8"/>
      <c r="R291" t="s">
        <v>38</v>
      </c>
      <c r="S29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29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92" spans="1:20">
      <c r="A292" t="s">
        <v>618</v>
      </c>
      <c r="B292" t="s">
        <v>155</v>
      </c>
      <c r="C292" t="s">
        <v>58</v>
      </c>
      <c r="D292" t="s">
        <v>46</v>
      </c>
      <c r="E292" t="s">
        <v>116</v>
      </c>
      <c r="F292" t="s">
        <v>37</v>
      </c>
      <c r="G292" s="5">
        <v>8.1</v>
      </c>
      <c r="H292" s="7">
        <v>0.13600000000000001</v>
      </c>
      <c r="I292" s="5" t="s">
        <v>26</v>
      </c>
      <c r="J292" t="s">
        <v>110</v>
      </c>
      <c r="K292" t="s">
        <v>60</v>
      </c>
      <c r="L292" t="s">
        <v>29</v>
      </c>
      <c r="M292" t="s">
        <v>65</v>
      </c>
      <c r="N292" s="8">
        <v>46261</v>
      </c>
      <c r="O292" s="8">
        <v>46275</v>
      </c>
      <c r="P292" t="s">
        <v>50</v>
      </c>
      <c r="Q292" s="8"/>
      <c r="R292" t="s">
        <v>38</v>
      </c>
      <c r="S29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9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93" spans="1:20">
      <c r="A293" t="s">
        <v>619</v>
      </c>
      <c r="B293" t="s">
        <v>215</v>
      </c>
      <c r="C293" t="s">
        <v>79</v>
      </c>
      <c r="D293" t="s">
        <v>104</v>
      </c>
      <c r="E293" t="s">
        <v>116</v>
      </c>
      <c r="F293" t="s">
        <v>37</v>
      </c>
      <c r="G293" s="5">
        <v>8.1</v>
      </c>
      <c r="H293" s="7">
        <v>0.33700000000000002</v>
      </c>
      <c r="I293" s="5" t="s">
        <v>26</v>
      </c>
      <c r="J293" t="s">
        <v>39</v>
      </c>
      <c r="K293" t="s">
        <v>87</v>
      </c>
      <c r="L293" t="s">
        <v>80</v>
      </c>
      <c r="M293" t="s">
        <v>96</v>
      </c>
      <c r="N293" s="8">
        <v>46242</v>
      </c>
      <c r="O293" s="8">
        <v>46256</v>
      </c>
      <c r="P293" t="s">
        <v>101</v>
      </c>
      <c r="Q293" s="8">
        <v>46254</v>
      </c>
      <c r="R293" t="s">
        <v>38</v>
      </c>
      <c r="S29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9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94" spans="1:20">
      <c r="A294" t="s">
        <v>620</v>
      </c>
      <c r="B294" t="s">
        <v>521</v>
      </c>
      <c r="C294" t="s">
        <v>58</v>
      </c>
      <c r="D294" t="s">
        <v>59</v>
      </c>
      <c r="E294" t="s">
        <v>119</v>
      </c>
      <c r="F294" t="s">
        <v>37</v>
      </c>
      <c r="G294" s="5">
        <v>7.8</v>
      </c>
      <c r="H294" s="7">
        <v>0.246</v>
      </c>
      <c r="I294" s="5" t="s">
        <v>38</v>
      </c>
      <c r="J294" t="s">
        <v>39</v>
      </c>
      <c r="K294" t="s">
        <v>87</v>
      </c>
      <c r="L294" t="s">
        <v>99</v>
      </c>
      <c r="M294" t="s">
        <v>100</v>
      </c>
      <c r="N294" s="8">
        <v>46267</v>
      </c>
      <c r="O294" s="8">
        <v>46277</v>
      </c>
      <c r="P294" t="s">
        <v>42</v>
      </c>
      <c r="Q294" s="8"/>
      <c r="R294" t="s">
        <v>38</v>
      </c>
      <c r="S29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29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295" spans="1:20">
      <c r="A295" t="s">
        <v>621</v>
      </c>
      <c r="B295" t="s">
        <v>622</v>
      </c>
      <c r="C295" t="s">
        <v>22</v>
      </c>
      <c r="D295" t="s">
        <v>35</v>
      </c>
      <c r="E295" t="s">
        <v>216</v>
      </c>
      <c r="F295" t="s">
        <v>217</v>
      </c>
      <c r="G295" s="5">
        <v>9.1</v>
      </c>
      <c r="H295" s="7">
        <v>0.40799999999999997</v>
      </c>
      <c r="I295" s="5" t="s">
        <v>38</v>
      </c>
      <c r="J295" t="s">
        <v>39</v>
      </c>
      <c r="K295" t="s">
        <v>28</v>
      </c>
      <c r="L295" t="s">
        <v>54</v>
      </c>
      <c r="M295" t="s">
        <v>55</v>
      </c>
      <c r="N295" s="8">
        <v>46235</v>
      </c>
      <c r="O295" s="8">
        <v>46242</v>
      </c>
      <c r="P295" t="s">
        <v>31</v>
      </c>
      <c r="Q295" s="8">
        <v>46245</v>
      </c>
      <c r="R295" t="s">
        <v>38</v>
      </c>
      <c r="S29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9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96" spans="1:20">
      <c r="A296" t="s">
        <v>623</v>
      </c>
      <c r="B296" t="s">
        <v>624</v>
      </c>
      <c r="C296" t="s">
        <v>79</v>
      </c>
      <c r="D296" t="s">
        <v>53</v>
      </c>
      <c r="E296" t="s">
        <v>64</v>
      </c>
      <c r="F296" t="s">
        <v>37</v>
      </c>
      <c r="G296" s="5">
        <v>9.8000000000000007</v>
      </c>
      <c r="H296" s="7">
        <v>0.43099999999999999</v>
      </c>
      <c r="I296" s="5" t="s">
        <v>38</v>
      </c>
      <c r="J296" t="s">
        <v>39</v>
      </c>
      <c r="K296" t="s">
        <v>60</v>
      </c>
      <c r="L296" t="s">
        <v>40</v>
      </c>
      <c r="M296" t="s">
        <v>72</v>
      </c>
      <c r="N296" s="8">
        <v>46260</v>
      </c>
      <c r="O296" s="8">
        <v>46267</v>
      </c>
      <c r="P296" t="s">
        <v>101</v>
      </c>
      <c r="Q296" s="8">
        <v>46265</v>
      </c>
      <c r="R296" t="s">
        <v>38</v>
      </c>
      <c r="S29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29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297" spans="1:20">
      <c r="A297" t="s">
        <v>625</v>
      </c>
      <c r="B297" t="s">
        <v>626</v>
      </c>
      <c r="C297" t="s">
        <v>22</v>
      </c>
      <c r="D297" t="s">
        <v>84</v>
      </c>
      <c r="E297" t="s">
        <v>64</v>
      </c>
      <c r="F297" t="s">
        <v>37</v>
      </c>
      <c r="G297" s="5">
        <v>9.8000000000000007</v>
      </c>
      <c r="H297" s="7">
        <v>0.24099999999999999</v>
      </c>
      <c r="I297" s="5" t="s">
        <v>26</v>
      </c>
      <c r="J297" t="s">
        <v>39</v>
      </c>
      <c r="K297" t="s">
        <v>28</v>
      </c>
      <c r="L297" t="s">
        <v>40</v>
      </c>
      <c r="M297" t="s">
        <v>72</v>
      </c>
      <c r="N297" s="8">
        <v>46258</v>
      </c>
      <c r="O297" s="8">
        <v>46265</v>
      </c>
      <c r="P297" t="s">
        <v>42</v>
      </c>
      <c r="Q297" s="8"/>
      <c r="R297" t="s">
        <v>38</v>
      </c>
      <c r="S29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29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98" spans="1:20">
      <c r="A298" t="s">
        <v>627</v>
      </c>
      <c r="B298" t="s">
        <v>628</v>
      </c>
      <c r="C298" t="s">
        <v>34</v>
      </c>
      <c r="D298" t="s">
        <v>109</v>
      </c>
      <c r="E298" t="s">
        <v>47</v>
      </c>
      <c r="F298" t="s">
        <v>37</v>
      </c>
      <c r="G298" s="5">
        <v>10</v>
      </c>
      <c r="H298" s="7">
        <v>0.24</v>
      </c>
      <c r="I298" s="5" t="s">
        <v>26</v>
      </c>
      <c r="J298" t="s">
        <v>39</v>
      </c>
      <c r="K298" t="s">
        <v>28</v>
      </c>
      <c r="L298" t="s">
        <v>29</v>
      </c>
      <c r="M298" t="s">
        <v>30</v>
      </c>
      <c r="N298" s="8">
        <v>46241</v>
      </c>
      <c r="O298" s="8">
        <v>46248</v>
      </c>
      <c r="P298" t="s">
        <v>42</v>
      </c>
      <c r="Q298" s="8"/>
      <c r="R298" t="s">
        <v>38</v>
      </c>
      <c r="S29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29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299" spans="1:20">
      <c r="A299" t="s">
        <v>629</v>
      </c>
      <c r="B299" t="s">
        <v>351</v>
      </c>
      <c r="C299" t="s">
        <v>59</v>
      </c>
      <c r="D299" t="s">
        <v>63</v>
      </c>
      <c r="E299" t="s">
        <v>142</v>
      </c>
      <c r="F299" t="s">
        <v>71</v>
      </c>
      <c r="G299" s="5">
        <v>8.8000000000000007</v>
      </c>
      <c r="H299" s="7">
        <v>0.23699999999999999</v>
      </c>
      <c r="I299" s="5" t="s">
        <v>38</v>
      </c>
      <c r="J299" t="s">
        <v>39</v>
      </c>
      <c r="K299" t="s">
        <v>87</v>
      </c>
      <c r="L299" t="s">
        <v>48</v>
      </c>
      <c r="M299" t="s">
        <v>49</v>
      </c>
      <c r="N299" s="8">
        <v>46237</v>
      </c>
      <c r="O299" s="8">
        <v>46251</v>
      </c>
      <c r="P299" t="s">
        <v>42</v>
      </c>
      <c r="Q299" s="8"/>
      <c r="R299" t="s">
        <v>38</v>
      </c>
      <c r="S29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29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00" spans="1:20">
      <c r="A300" t="s">
        <v>630</v>
      </c>
      <c r="B300" t="s">
        <v>219</v>
      </c>
      <c r="C300" t="s">
        <v>58</v>
      </c>
      <c r="D300" t="s">
        <v>23</v>
      </c>
      <c r="E300" t="s">
        <v>116</v>
      </c>
      <c r="F300" t="s">
        <v>37</v>
      </c>
      <c r="G300" s="5">
        <v>8.1</v>
      </c>
      <c r="H300" s="7">
        <v>0.38900000000000001</v>
      </c>
      <c r="I300" s="5" t="s">
        <v>26</v>
      </c>
      <c r="J300" t="s">
        <v>39</v>
      </c>
      <c r="K300" t="s">
        <v>87</v>
      </c>
      <c r="L300" t="s">
        <v>99</v>
      </c>
      <c r="M300" t="s">
        <v>100</v>
      </c>
      <c r="N300" s="8">
        <v>46259</v>
      </c>
      <c r="O300" s="8">
        <v>46273</v>
      </c>
      <c r="P300" t="s">
        <v>101</v>
      </c>
      <c r="Q300" s="8">
        <v>46270</v>
      </c>
      <c r="R300" t="s">
        <v>38</v>
      </c>
      <c r="S30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0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01" spans="1:20">
      <c r="A301" t="s">
        <v>631</v>
      </c>
      <c r="B301" t="s">
        <v>153</v>
      </c>
      <c r="C301" t="s">
        <v>34</v>
      </c>
      <c r="D301" t="s">
        <v>63</v>
      </c>
      <c r="E301" t="s">
        <v>125</v>
      </c>
      <c r="F301" t="s">
        <v>126</v>
      </c>
      <c r="G301" s="5">
        <v>8.6</v>
      </c>
      <c r="H301" s="7">
        <v>7.0000000000000007E-2</v>
      </c>
      <c r="I301" s="5" t="s">
        <v>38</v>
      </c>
      <c r="J301" t="s">
        <v>27</v>
      </c>
      <c r="K301" t="s">
        <v>28</v>
      </c>
      <c r="L301" t="s">
        <v>75</v>
      </c>
      <c r="M301" t="s">
        <v>76</v>
      </c>
      <c r="N301" s="8">
        <v>46275</v>
      </c>
      <c r="O301" s="8">
        <v>46289</v>
      </c>
      <c r="P301" t="s">
        <v>31</v>
      </c>
      <c r="Q301" s="8">
        <v>46293</v>
      </c>
      <c r="R301" t="s">
        <v>26</v>
      </c>
      <c r="S30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0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02" spans="1:20">
      <c r="A302" t="s">
        <v>632</v>
      </c>
      <c r="B302" t="s">
        <v>95</v>
      </c>
      <c r="C302" t="s">
        <v>45</v>
      </c>
      <c r="D302" t="s">
        <v>84</v>
      </c>
      <c r="E302" t="s">
        <v>47</v>
      </c>
      <c r="F302" t="s">
        <v>37</v>
      </c>
      <c r="G302" s="5">
        <v>10</v>
      </c>
      <c r="H302" s="7">
        <v>0.23599999999999999</v>
      </c>
      <c r="I302" s="5" t="s">
        <v>26</v>
      </c>
      <c r="J302" t="s">
        <v>39</v>
      </c>
      <c r="K302" t="s">
        <v>87</v>
      </c>
      <c r="L302" t="s">
        <v>54</v>
      </c>
      <c r="M302" t="s">
        <v>55</v>
      </c>
      <c r="N302" s="8">
        <v>46242</v>
      </c>
      <c r="O302" s="8">
        <v>46249</v>
      </c>
      <c r="P302" t="s">
        <v>42</v>
      </c>
      <c r="Q302" s="8"/>
      <c r="R302" t="s">
        <v>38</v>
      </c>
      <c r="S30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30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03" spans="1:20">
      <c r="A303" t="s">
        <v>633</v>
      </c>
      <c r="B303" t="s">
        <v>634</v>
      </c>
      <c r="C303" t="s">
        <v>58</v>
      </c>
      <c r="D303" t="s">
        <v>109</v>
      </c>
      <c r="E303" t="s">
        <v>119</v>
      </c>
      <c r="F303" t="s">
        <v>37</v>
      </c>
      <c r="G303" s="5">
        <v>7.8</v>
      </c>
      <c r="H303" s="7">
        <v>0.56399999999999995</v>
      </c>
      <c r="I303" s="5" t="s">
        <v>38</v>
      </c>
      <c r="J303" t="s">
        <v>110</v>
      </c>
      <c r="K303" t="s">
        <v>28</v>
      </c>
      <c r="L303" t="s">
        <v>48</v>
      </c>
      <c r="M303" t="s">
        <v>49</v>
      </c>
      <c r="N303" s="8">
        <v>46241</v>
      </c>
      <c r="O303" s="8">
        <v>46255</v>
      </c>
      <c r="P303" t="s">
        <v>101</v>
      </c>
      <c r="Q303" s="8">
        <v>46273</v>
      </c>
      <c r="R303" t="s">
        <v>38</v>
      </c>
      <c r="S30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0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04" spans="1:20">
      <c r="A304" t="s">
        <v>635</v>
      </c>
      <c r="B304" t="s">
        <v>636</v>
      </c>
      <c r="C304" t="s">
        <v>59</v>
      </c>
      <c r="D304" t="s">
        <v>90</v>
      </c>
      <c r="E304" t="s">
        <v>119</v>
      </c>
      <c r="F304" t="s">
        <v>37</v>
      </c>
      <c r="G304" s="5">
        <v>7.8</v>
      </c>
      <c r="H304" s="7">
        <v>0.23599999999999999</v>
      </c>
      <c r="I304" s="5" t="s">
        <v>38</v>
      </c>
      <c r="J304" t="s">
        <v>39</v>
      </c>
      <c r="K304" t="s">
        <v>28</v>
      </c>
      <c r="L304" t="s">
        <v>48</v>
      </c>
      <c r="M304" t="s">
        <v>49</v>
      </c>
      <c r="N304" s="8">
        <v>46254</v>
      </c>
      <c r="O304" s="8">
        <v>46268</v>
      </c>
      <c r="P304" t="s">
        <v>42</v>
      </c>
      <c r="Q304" s="8"/>
      <c r="R304" t="s">
        <v>38</v>
      </c>
      <c r="S30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0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05" spans="1:20">
      <c r="A305" t="s">
        <v>637</v>
      </c>
      <c r="B305" t="s">
        <v>439</v>
      </c>
      <c r="C305" t="s">
        <v>34</v>
      </c>
      <c r="D305" t="s">
        <v>63</v>
      </c>
      <c r="E305" t="s">
        <v>24</v>
      </c>
      <c r="F305" t="s">
        <v>25</v>
      </c>
      <c r="G305" s="5">
        <v>10</v>
      </c>
      <c r="H305" s="7">
        <v>0.23400000000000001</v>
      </c>
      <c r="I305" s="5" t="s">
        <v>26</v>
      </c>
      <c r="J305" t="s">
        <v>27</v>
      </c>
      <c r="K305" t="s">
        <v>87</v>
      </c>
      <c r="L305" t="s">
        <v>48</v>
      </c>
      <c r="M305" t="s">
        <v>49</v>
      </c>
      <c r="N305" s="8">
        <v>46237</v>
      </c>
      <c r="O305" s="8">
        <v>46244</v>
      </c>
      <c r="P305" t="s">
        <v>42</v>
      </c>
      <c r="Q305" s="8"/>
      <c r="R305" t="s">
        <v>26</v>
      </c>
      <c r="S30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0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06" spans="1:20">
      <c r="A306" t="s">
        <v>638</v>
      </c>
      <c r="B306" t="s">
        <v>57</v>
      </c>
      <c r="C306" t="s">
        <v>58</v>
      </c>
      <c r="D306" t="s">
        <v>122</v>
      </c>
      <c r="E306" t="s">
        <v>36</v>
      </c>
      <c r="F306" t="s">
        <v>37</v>
      </c>
      <c r="G306" s="5">
        <v>9.8000000000000007</v>
      </c>
      <c r="H306" s="7">
        <v>0.187</v>
      </c>
      <c r="I306" s="5" t="s">
        <v>38</v>
      </c>
      <c r="J306" t="s">
        <v>39</v>
      </c>
      <c r="K306" t="s">
        <v>28</v>
      </c>
      <c r="L306" t="s">
        <v>54</v>
      </c>
      <c r="M306" t="s">
        <v>55</v>
      </c>
      <c r="N306" s="8">
        <v>46258</v>
      </c>
      <c r="O306" s="8">
        <v>46265</v>
      </c>
      <c r="P306" t="s">
        <v>31</v>
      </c>
      <c r="Q306" s="8">
        <v>46264</v>
      </c>
      <c r="R306" t="s">
        <v>38</v>
      </c>
      <c r="S30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0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07" spans="1:20">
      <c r="A307" t="s">
        <v>639</v>
      </c>
      <c r="B307" t="s">
        <v>533</v>
      </c>
      <c r="C307" t="s">
        <v>58</v>
      </c>
      <c r="D307" t="s">
        <v>46</v>
      </c>
      <c r="E307" t="s">
        <v>201</v>
      </c>
      <c r="F307" t="s">
        <v>202</v>
      </c>
      <c r="G307" s="5">
        <v>9.8000000000000007</v>
      </c>
      <c r="H307" s="7">
        <v>0.152</v>
      </c>
      <c r="I307" s="5" t="s">
        <v>38</v>
      </c>
      <c r="J307" t="s">
        <v>39</v>
      </c>
      <c r="K307" t="s">
        <v>28</v>
      </c>
      <c r="L307" t="s">
        <v>99</v>
      </c>
      <c r="M307" t="s">
        <v>100</v>
      </c>
      <c r="N307" s="8">
        <v>46245</v>
      </c>
      <c r="O307" s="8">
        <v>46252</v>
      </c>
      <c r="P307" t="s">
        <v>50</v>
      </c>
      <c r="Q307" s="8"/>
      <c r="R307" t="s">
        <v>38</v>
      </c>
      <c r="S30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0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08" spans="1:20">
      <c r="A308" t="s">
        <v>640</v>
      </c>
      <c r="B308" t="s">
        <v>86</v>
      </c>
      <c r="C308" t="s">
        <v>34</v>
      </c>
      <c r="D308" t="s">
        <v>90</v>
      </c>
      <c r="E308" t="s">
        <v>142</v>
      </c>
      <c r="F308" t="s">
        <v>71</v>
      </c>
      <c r="G308" s="5">
        <v>8.8000000000000007</v>
      </c>
      <c r="H308" s="7">
        <v>0.22900000000000001</v>
      </c>
      <c r="I308" s="5" t="s">
        <v>38</v>
      </c>
      <c r="J308" t="s">
        <v>110</v>
      </c>
      <c r="K308" t="s">
        <v>28</v>
      </c>
      <c r="L308" t="s">
        <v>40</v>
      </c>
      <c r="M308" t="s">
        <v>41</v>
      </c>
      <c r="N308" s="8">
        <v>46267</v>
      </c>
      <c r="O308" s="8">
        <v>46278</v>
      </c>
      <c r="P308" t="s">
        <v>42</v>
      </c>
      <c r="Q308" s="8"/>
      <c r="R308" t="s">
        <v>38</v>
      </c>
      <c r="S30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0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09" spans="1:20">
      <c r="A309" t="s">
        <v>641</v>
      </c>
      <c r="B309" t="s">
        <v>549</v>
      </c>
      <c r="C309" t="s">
        <v>45</v>
      </c>
      <c r="D309" t="s">
        <v>109</v>
      </c>
      <c r="E309" t="s">
        <v>201</v>
      </c>
      <c r="F309" t="s">
        <v>202</v>
      </c>
      <c r="G309" s="5">
        <v>9.8000000000000007</v>
      </c>
      <c r="H309" s="7">
        <v>8.5000000000000006E-2</v>
      </c>
      <c r="I309" s="5" t="s">
        <v>38</v>
      </c>
      <c r="J309" t="s">
        <v>39</v>
      </c>
      <c r="K309" t="s">
        <v>28</v>
      </c>
      <c r="L309" t="s">
        <v>80</v>
      </c>
      <c r="M309" t="s">
        <v>81</v>
      </c>
      <c r="N309" s="8">
        <v>46239</v>
      </c>
      <c r="O309" s="8">
        <v>46246</v>
      </c>
      <c r="P309" t="s">
        <v>101</v>
      </c>
      <c r="Q309" s="8">
        <v>46273</v>
      </c>
      <c r="R309" t="s">
        <v>38</v>
      </c>
      <c r="S30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0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10" spans="1:20">
      <c r="A310" t="s">
        <v>642</v>
      </c>
      <c r="B310" t="s">
        <v>608</v>
      </c>
      <c r="C310" t="s">
        <v>34</v>
      </c>
      <c r="D310" t="s">
        <v>59</v>
      </c>
      <c r="E310" t="s">
        <v>70</v>
      </c>
      <c r="F310" t="s">
        <v>71</v>
      </c>
      <c r="G310" s="5">
        <v>9.8000000000000007</v>
      </c>
      <c r="H310" s="7">
        <v>0.22700000000000001</v>
      </c>
      <c r="I310" s="5" t="s">
        <v>26</v>
      </c>
      <c r="J310" t="s">
        <v>110</v>
      </c>
      <c r="K310" t="s">
        <v>87</v>
      </c>
      <c r="L310" t="s">
        <v>80</v>
      </c>
      <c r="M310" t="s">
        <v>81</v>
      </c>
      <c r="N310" s="8">
        <v>46255</v>
      </c>
      <c r="O310" s="8">
        <v>46262</v>
      </c>
      <c r="P310" t="s">
        <v>42</v>
      </c>
      <c r="Q310" s="8"/>
      <c r="R310" t="s">
        <v>38</v>
      </c>
      <c r="S31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1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11" spans="1:20">
      <c r="A311" t="s">
        <v>643</v>
      </c>
      <c r="B311" t="s">
        <v>644</v>
      </c>
      <c r="C311" t="s">
        <v>45</v>
      </c>
      <c r="D311" t="s">
        <v>53</v>
      </c>
      <c r="E311" t="s">
        <v>36</v>
      </c>
      <c r="F311" t="s">
        <v>37</v>
      </c>
      <c r="G311" s="5">
        <v>9.8000000000000007</v>
      </c>
      <c r="H311" s="7">
        <v>0.27500000000000002</v>
      </c>
      <c r="I311" s="5" t="s">
        <v>38</v>
      </c>
      <c r="J311" t="s">
        <v>39</v>
      </c>
      <c r="K311" t="s">
        <v>60</v>
      </c>
      <c r="L311" t="s">
        <v>54</v>
      </c>
      <c r="M311" t="s">
        <v>55</v>
      </c>
      <c r="N311" s="8">
        <v>46275</v>
      </c>
      <c r="O311" s="8">
        <v>46282</v>
      </c>
      <c r="P311" t="s">
        <v>31</v>
      </c>
      <c r="Q311" s="8">
        <v>46309</v>
      </c>
      <c r="R311" t="s">
        <v>38</v>
      </c>
      <c r="S31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1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12" spans="1:20">
      <c r="A312" t="s">
        <v>645</v>
      </c>
      <c r="B312" t="s">
        <v>646</v>
      </c>
      <c r="C312" t="s">
        <v>79</v>
      </c>
      <c r="D312" t="s">
        <v>46</v>
      </c>
      <c r="E312" t="s">
        <v>216</v>
      </c>
      <c r="F312" t="s">
        <v>217</v>
      </c>
      <c r="G312" s="5">
        <v>9.1</v>
      </c>
      <c r="H312" s="7">
        <v>0.22500000000000001</v>
      </c>
      <c r="I312" s="5" t="s">
        <v>38</v>
      </c>
      <c r="J312" t="s">
        <v>39</v>
      </c>
      <c r="K312" t="s">
        <v>60</v>
      </c>
      <c r="L312" t="s">
        <v>40</v>
      </c>
      <c r="M312" t="s">
        <v>72</v>
      </c>
      <c r="N312" s="8">
        <v>46247</v>
      </c>
      <c r="O312" s="8">
        <v>46254</v>
      </c>
      <c r="P312" t="s">
        <v>42</v>
      </c>
      <c r="Q312" s="8"/>
      <c r="R312" t="s">
        <v>38</v>
      </c>
      <c r="S31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1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13" spans="1:20">
      <c r="A313" t="s">
        <v>647</v>
      </c>
      <c r="B313" t="s">
        <v>171</v>
      </c>
      <c r="C313" t="s">
        <v>34</v>
      </c>
      <c r="D313" t="s">
        <v>53</v>
      </c>
      <c r="E313" t="s">
        <v>119</v>
      </c>
      <c r="F313" t="s">
        <v>37</v>
      </c>
      <c r="G313" s="5">
        <v>7.8</v>
      </c>
      <c r="H313" s="7">
        <v>0.22</v>
      </c>
      <c r="I313" s="5" t="s">
        <v>38</v>
      </c>
      <c r="J313" t="s">
        <v>27</v>
      </c>
      <c r="K313" t="s">
        <v>28</v>
      </c>
      <c r="L313" t="s">
        <v>80</v>
      </c>
      <c r="M313" t="s">
        <v>81</v>
      </c>
      <c r="N313" s="8">
        <v>46243</v>
      </c>
      <c r="O313" s="8">
        <v>46257</v>
      </c>
      <c r="P313" t="s">
        <v>42</v>
      </c>
      <c r="Q313" s="8"/>
      <c r="R313" t="s">
        <v>26</v>
      </c>
      <c r="S31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31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14" spans="1:20">
      <c r="A314" t="s">
        <v>648</v>
      </c>
      <c r="B314" t="s">
        <v>649</v>
      </c>
      <c r="C314" t="s">
        <v>22</v>
      </c>
      <c r="D314" t="s">
        <v>63</v>
      </c>
      <c r="E314" t="s">
        <v>201</v>
      </c>
      <c r="F314" t="s">
        <v>202</v>
      </c>
      <c r="G314" s="5">
        <v>9.8000000000000007</v>
      </c>
      <c r="H314" s="7">
        <v>0.29899999999999999</v>
      </c>
      <c r="I314" s="5" t="s">
        <v>38</v>
      </c>
      <c r="J314" t="s">
        <v>39</v>
      </c>
      <c r="K314" t="s">
        <v>60</v>
      </c>
      <c r="L314" t="s">
        <v>29</v>
      </c>
      <c r="M314" t="s">
        <v>65</v>
      </c>
      <c r="N314" s="8">
        <v>46266</v>
      </c>
      <c r="O314" s="8">
        <v>46273</v>
      </c>
      <c r="P314" t="s">
        <v>101</v>
      </c>
      <c r="Q314" s="8">
        <v>46299</v>
      </c>
      <c r="R314" t="s">
        <v>38</v>
      </c>
      <c r="S31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1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15" spans="1:20">
      <c r="A315" t="s">
        <v>650</v>
      </c>
      <c r="B315" t="s">
        <v>651</v>
      </c>
      <c r="C315" t="s">
        <v>22</v>
      </c>
      <c r="D315" t="s">
        <v>23</v>
      </c>
      <c r="E315" t="s">
        <v>119</v>
      </c>
      <c r="F315" t="s">
        <v>37</v>
      </c>
      <c r="G315" s="5">
        <v>7.8</v>
      </c>
      <c r="H315" s="7">
        <v>0.22</v>
      </c>
      <c r="I315" s="5" t="s">
        <v>38</v>
      </c>
      <c r="J315" t="s">
        <v>110</v>
      </c>
      <c r="K315" t="s">
        <v>87</v>
      </c>
      <c r="L315" t="s">
        <v>29</v>
      </c>
      <c r="M315" t="s">
        <v>30</v>
      </c>
      <c r="N315" s="8">
        <v>46260</v>
      </c>
      <c r="O315" s="8">
        <v>46274</v>
      </c>
      <c r="P315" t="s">
        <v>42</v>
      </c>
      <c r="Q315" s="8"/>
      <c r="R315" t="s">
        <v>38</v>
      </c>
      <c r="S31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31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16" spans="1:20">
      <c r="A316" t="s">
        <v>652</v>
      </c>
      <c r="B316" t="s">
        <v>653</v>
      </c>
      <c r="C316" t="s">
        <v>58</v>
      </c>
      <c r="D316" t="s">
        <v>63</v>
      </c>
      <c r="E316" t="s">
        <v>216</v>
      </c>
      <c r="F316" t="s">
        <v>217</v>
      </c>
      <c r="G316" s="5">
        <v>9.1</v>
      </c>
      <c r="H316" s="7">
        <v>0.40600000000000003</v>
      </c>
      <c r="I316" s="5" t="s">
        <v>38</v>
      </c>
      <c r="J316" t="s">
        <v>39</v>
      </c>
      <c r="K316" t="s">
        <v>28</v>
      </c>
      <c r="L316" t="s">
        <v>48</v>
      </c>
      <c r="M316" t="s">
        <v>132</v>
      </c>
      <c r="N316" s="8">
        <v>46269</v>
      </c>
      <c r="O316" s="8">
        <v>46276</v>
      </c>
      <c r="P316" t="s">
        <v>91</v>
      </c>
      <c r="Q316" s="8"/>
      <c r="R316" t="s">
        <v>38</v>
      </c>
      <c r="S31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1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17" spans="1:20">
      <c r="A317" t="s">
        <v>654</v>
      </c>
      <c r="B317" t="s">
        <v>459</v>
      </c>
      <c r="C317" t="s">
        <v>59</v>
      </c>
      <c r="D317" t="s">
        <v>46</v>
      </c>
      <c r="E317" t="s">
        <v>146</v>
      </c>
      <c r="F317" t="s">
        <v>147</v>
      </c>
      <c r="G317" s="5">
        <v>7.5</v>
      </c>
      <c r="H317" s="7">
        <v>0.219</v>
      </c>
      <c r="I317" s="5" t="s">
        <v>38</v>
      </c>
      <c r="J317" t="s">
        <v>39</v>
      </c>
      <c r="K317" t="s">
        <v>60</v>
      </c>
      <c r="L317" t="s">
        <v>75</v>
      </c>
      <c r="M317" t="s">
        <v>76</v>
      </c>
      <c r="N317" s="8">
        <v>46261</v>
      </c>
      <c r="O317" s="8">
        <v>46275</v>
      </c>
      <c r="P317" t="s">
        <v>42</v>
      </c>
      <c r="Q317" s="8"/>
      <c r="R317" t="s">
        <v>38</v>
      </c>
      <c r="S31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31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18" spans="1:20">
      <c r="A318" t="s">
        <v>655</v>
      </c>
      <c r="B318" t="s">
        <v>445</v>
      </c>
      <c r="C318" t="s">
        <v>34</v>
      </c>
      <c r="D318" t="s">
        <v>23</v>
      </c>
      <c r="E318" t="s">
        <v>201</v>
      </c>
      <c r="F318" t="s">
        <v>202</v>
      </c>
      <c r="G318" s="5">
        <v>9.8000000000000007</v>
      </c>
      <c r="H318" s="7">
        <v>0.45600000000000002</v>
      </c>
      <c r="I318" s="5" t="s">
        <v>38</v>
      </c>
      <c r="J318" t="s">
        <v>39</v>
      </c>
      <c r="K318" t="s">
        <v>60</v>
      </c>
      <c r="L318" t="s">
        <v>80</v>
      </c>
      <c r="M318" t="s">
        <v>81</v>
      </c>
      <c r="N318" s="8">
        <v>46237</v>
      </c>
      <c r="O318" s="8">
        <v>46244</v>
      </c>
      <c r="P318" t="s">
        <v>50</v>
      </c>
      <c r="Q318" s="8"/>
      <c r="R318" t="s">
        <v>38</v>
      </c>
      <c r="S31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1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19" spans="1:20">
      <c r="A319" t="s">
        <v>656</v>
      </c>
      <c r="B319" t="s">
        <v>657</v>
      </c>
      <c r="C319" t="s">
        <v>34</v>
      </c>
      <c r="D319" t="s">
        <v>46</v>
      </c>
      <c r="E319" t="s">
        <v>119</v>
      </c>
      <c r="F319" t="s">
        <v>37</v>
      </c>
      <c r="G319" s="5">
        <v>7.8</v>
      </c>
      <c r="H319" s="7">
        <v>0.51500000000000001</v>
      </c>
      <c r="I319" s="5" t="s">
        <v>38</v>
      </c>
      <c r="J319" t="s">
        <v>39</v>
      </c>
      <c r="K319" t="s">
        <v>28</v>
      </c>
      <c r="L319" t="s">
        <v>29</v>
      </c>
      <c r="M319" t="s">
        <v>30</v>
      </c>
      <c r="N319" s="8">
        <v>46262</v>
      </c>
      <c r="O319" s="8">
        <v>46276</v>
      </c>
      <c r="P319" t="s">
        <v>31</v>
      </c>
      <c r="Q319" s="8">
        <v>46269</v>
      </c>
      <c r="R319" t="s">
        <v>38</v>
      </c>
      <c r="S31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1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20" spans="1:20">
      <c r="A320" t="s">
        <v>658</v>
      </c>
      <c r="B320" t="s">
        <v>659</v>
      </c>
      <c r="C320" t="s">
        <v>79</v>
      </c>
      <c r="D320" t="s">
        <v>46</v>
      </c>
      <c r="E320" t="s">
        <v>24</v>
      </c>
      <c r="F320" t="s">
        <v>25</v>
      </c>
      <c r="G320" s="5">
        <v>10</v>
      </c>
      <c r="H320" s="7">
        <v>0.217</v>
      </c>
      <c r="I320" s="5" t="s">
        <v>26</v>
      </c>
      <c r="J320" t="s">
        <v>39</v>
      </c>
      <c r="K320" t="s">
        <v>28</v>
      </c>
      <c r="L320" t="s">
        <v>54</v>
      </c>
      <c r="M320" t="s">
        <v>55</v>
      </c>
      <c r="N320" s="8">
        <v>46237</v>
      </c>
      <c r="O320" s="8">
        <v>46244</v>
      </c>
      <c r="P320" t="s">
        <v>42</v>
      </c>
      <c r="Q320" s="8"/>
      <c r="R320" t="s">
        <v>38</v>
      </c>
      <c r="S32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2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21" spans="1:20">
      <c r="A321" t="s">
        <v>660</v>
      </c>
      <c r="B321" t="s">
        <v>661</v>
      </c>
      <c r="C321" t="s">
        <v>34</v>
      </c>
      <c r="D321" t="s">
        <v>104</v>
      </c>
      <c r="E321" t="s">
        <v>70</v>
      </c>
      <c r="F321" t="s">
        <v>71</v>
      </c>
      <c r="G321" s="5">
        <v>9.8000000000000007</v>
      </c>
      <c r="H321" s="7">
        <v>0.217</v>
      </c>
      <c r="I321" s="5" t="s">
        <v>26</v>
      </c>
      <c r="J321" t="s">
        <v>39</v>
      </c>
      <c r="K321" t="s">
        <v>60</v>
      </c>
      <c r="L321" t="s">
        <v>80</v>
      </c>
      <c r="M321" t="s">
        <v>96</v>
      </c>
      <c r="N321" s="8">
        <v>46251</v>
      </c>
      <c r="O321" s="8">
        <v>46258</v>
      </c>
      <c r="P321" t="s">
        <v>42</v>
      </c>
      <c r="Q321" s="8"/>
      <c r="R321" t="s">
        <v>38</v>
      </c>
      <c r="S32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32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22" spans="1:20">
      <c r="A322" t="s">
        <v>662</v>
      </c>
      <c r="B322" t="s">
        <v>663</v>
      </c>
      <c r="C322" t="s">
        <v>45</v>
      </c>
      <c r="D322" t="s">
        <v>59</v>
      </c>
      <c r="E322" t="s">
        <v>201</v>
      </c>
      <c r="F322" t="s">
        <v>202</v>
      </c>
      <c r="G322" s="5">
        <v>9.8000000000000007</v>
      </c>
      <c r="H322" s="7">
        <v>0.216</v>
      </c>
      <c r="I322" s="5" t="s">
        <v>38</v>
      </c>
      <c r="J322" t="s">
        <v>39</v>
      </c>
      <c r="K322" t="s">
        <v>28</v>
      </c>
      <c r="L322" t="s">
        <v>99</v>
      </c>
      <c r="M322" t="s">
        <v>100</v>
      </c>
      <c r="N322" s="8">
        <v>46268</v>
      </c>
      <c r="O322" s="8">
        <v>46275</v>
      </c>
      <c r="P322" t="s">
        <v>42</v>
      </c>
      <c r="Q322" s="8"/>
      <c r="R322" t="s">
        <v>38</v>
      </c>
      <c r="S32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32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23" spans="1:20">
      <c r="A323" t="s">
        <v>664</v>
      </c>
      <c r="B323" t="s">
        <v>610</v>
      </c>
      <c r="C323" t="s">
        <v>59</v>
      </c>
      <c r="D323" t="s">
        <v>35</v>
      </c>
      <c r="E323" t="s">
        <v>116</v>
      </c>
      <c r="F323" t="s">
        <v>37</v>
      </c>
      <c r="G323" s="5">
        <v>8.1</v>
      </c>
      <c r="H323" s="7">
        <v>0.214</v>
      </c>
      <c r="I323" s="5" t="s">
        <v>26</v>
      </c>
      <c r="J323" t="s">
        <v>39</v>
      </c>
      <c r="K323" t="s">
        <v>60</v>
      </c>
      <c r="L323" t="s">
        <v>75</v>
      </c>
      <c r="M323" t="s">
        <v>76</v>
      </c>
      <c r="N323" s="8">
        <v>46250</v>
      </c>
      <c r="O323" s="8">
        <v>46264</v>
      </c>
      <c r="P323" t="s">
        <v>42</v>
      </c>
      <c r="Q323" s="8"/>
      <c r="R323" t="s">
        <v>38</v>
      </c>
      <c r="S32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32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24" spans="1:20">
      <c r="A324" t="s">
        <v>665</v>
      </c>
      <c r="B324" t="s">
        <v>666</v>
      </c>
      <c r="C324" t="s">
        <v>79</v>
      </c>
      <c r="D324" t="s">
        <v>113</v>
      </c>
      <c r="E324" t="s">
        <v>116</v>
      </c>
      <c r="F324" t="s">
        <v>37</v>
      </c>
      <c r="G324" s="5">
        <v>8.1</v>
      </c>
      <c r="H324" s="7">
        <v>9.2999999999999999E-2</v>
      </c>
      <c r="I324" s="5" t="s">
        <v>26</v>
      </c>
      <c r="J324" t="s">
        <v>39</v>
      </c>
      <c r="K324" t="s">
        <v>60</v>
      </c>
      <c r="L324" t="s">
        <v>29</v>
      </c>
      <c r="M324" t="s">
        <v>65</v>
      </c>
      <c r="N324" s="8">
        <v>46263</v>
      </c>
      <c r="O324" s="8">
        <v>46277</v>
      </c>
      <c r="P324" t="s">
        <v>31</v>
      </c>
      <c r="Q324" s="8">
        <v>46270</v>
      </c>
      <c r="R324" t="s">
        <v>38</v>
      </c>
      <c r="S32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2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25" spans="1:20">
      <c r="A325" t="s">
        <v>667</v>
      </c>
      <c r="B325" t="s">
        <v>668</v>
      </c>
      <c r="C325" t="s">
        <v>22</v>
      </c>
      <c r="D325" t="s">
        <v>63</v>
      </c>
      <c r="E325" t="s">
        <v>70</v>
      </c>
      <c r="F325" t="s">
        <v>71</v>
      </c>
      <c r="G325" s="5">
        <v>9.8000000000000007</v>
      </c>
      <c r="H325" s="7">
        <v>0.214</v>
      </c>
      <c r="I325" s="5" t="s">
        <v>38</v>
      </c>
      <c r="J325" t="s">
        <v>39</v>
      </c>
      <c r="K325" t="s">
        <v>28</v>
      </c>
      <c r="L325" t="s">
        <v>40</v>
      </c>
      <c r="M325" t="s">
        <v>72</v>
      </c>
      <c r="N325" s="8">
        <v>46257</v>
      </c>
      <c r="O325" s="8">
        <v>46262</v>
      </c>
      <c r="P325" t="s">
        <v>42</v>
      </c>
      <c r="Q325" s="8"/>
      <c r="R325" t="s">
        <v>38</v>
      </c>
      <c r="S32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32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26" spans="1:20">
      <c r="A326" t="s">
        <v>669</v>
      </c>
      <c r="B326" t="s">
        <v>279</v>
      </c>
      <c r="C326" t="s">
        <v>59</v>
      </c>
      <c r="D326" t="s">
        <v>35</v>
      </c>
      <c r="E326" t="s">
        <v>47</v>
      </c>
      <c r="F326" t="s">
        <v>37</v>
      </c>
      <c r="G326" s="5">
        <v>10</v>
      </c>
      <c r="H326" s="7">
        <v>0.21299999999999999</v>
      </c>
      <c r="I326" s="5" t="s">
        <v>26</v>
      </c>
      <c r="J326" t="s">
        <v>110</v>
      </c>
      <c r="K326" t="s">
        <v>28</v>
      </c>
      <c r="L326" t="s">
        <v>80</v>
      </c>
      <c r="M326" t="s">
        <v>81</v>
      </c>
      <c r="N326" s="8">
        <v>46243</v>
      </c>
      <c r="O326" s="8">
        <v>46250</v>
      </c>
      <c r="P326" t="s">
        <v>42</v>
      </c>
      <c r="Q326" s="8"/>
      <c r="R326" t="s">
        <v>38</v>
      </c>
      <c r="S32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2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27" spans="1:20">
      <c r="A327" t="s">
        <v>670</v>
      </c>
      <c r="B327" t="s">
        <v>671</v>
      </c>
      <c r="C327" t="s">
        <v>22</v>
      </c>
      <c r="D327" t="s">
        <v>46</v>
      </c>
      <c r="E327" t="s">
        <v>216</v>
      </c>
      <c r="F327" t="s">
        <v>217</v>
      </c>
      <c r="G327" s="5">
        <v>9.1</v>
      </c>
      <c r="H327" s="7">
        <v>0.27400000000000002</v>
      </c>
      <c r="I327" s="5" t="s">
        <v>38</v>
      </c>
      <c r="J327" t="s">
        <v>39</v>
      </c>
      <c r="K327" t="s">
        <v>28</v>
      </c>
      <c r="L327" t="s">
        <v>40</v>
      </c>
      <c r="M327" t="s">
        <v>41</v>
      </c>
      <c r="N327" s="8">
        <v>46263</v>
      </c>
      <c r="O327" s="8">
        <v>46270</v>
      </c>
      <c r="P327" t="s">
        <v>91</v>
      </c>
      <c r="Q327" s="8"/>
      <c r="R327" t="s">
        <v>38</v>
      </c>
      <c r="S32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2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28" spans="1:20">
      <c r="A328" t="s">
        <v>672</v>
      </c>
      <c r="B328" t="s">
        <v>673</v>
      </c>
      <c r="C328" t="s">
        <v>58</v>
      </c>
      <c r="D328" t="s">
        <v>35</v>
      </c>
      <c r="E328" t="s">
        <v>216</v>
      </c>
      <c r="F328" t="s">
        <v>217</v>
      </c>
      <c r="G328" s="5">
        <v>9.1</v>
      </c>
      <c r="H328" s="7">
        <v>0.47199999999999998</v>
      </c>
      <c r="I328" s="5" t="s">
        <v>38</v>
      </c>
      <c r="J328" t="s">
        <v>110</v>
      </c>
      <c r="K328" t="s">
        <v>28</v>
      </c>
      <c r="L328" t="s">
        <v>80</v>
      </c>
      <c r="M328" t="s">
        <v>81</v>
      </c>
      <c r="N328" s="8">
        <v>46254</v>
      </c>
      <c r="O328" s="8">
        <v>46261</v>
      </c>
      <c r="P328" t="s">
        <v>91</v>
      </c>
      <c r="Q328" s="8"/>
      <c r="R328" t="s">
        <v>38</v>
      </c>
      <c r="S32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2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29" spans="1:20">
      <c r="A329" t="s">
        <v>674</v>
      </c>
      <c r="B329" t="s">
        <v>675</v>
      </c>
      <c r="C329" t="s">
        <v>22</v>
      </c>
      <c r="D329" t="s">
        <v>23</v>
      </c>
      <c r="E329" t="s">
        <v>116</v>
      </c>
      <c r="F329" t="s">
        <v>37</v>
      </c>
      <c r="G329" s="5">
        <v>8.1</v>
      </c>
      <c r="H329" s="7">
        <v>0.21099999999999999</v>
      </c>
      <c r="I329" s="5" t="s">
        <v>26</v>
      </c>
      <c r="J329" t="s">
        <v>39</v>
      </c>
      <c r="K329" t="s">
        <v>28</v>
      </c>
      <c r="L329" t="s">
        <v>80</v>
      </c>
      <c r="M329" t="s">
        <v>81</v>
      </c>
      <c r="N329" s="8">
        <v>46265</v>
      </c>
      <c r="O329" s="8">
        <v>46279</v>
      </c>
      <c r="P329" t="s">
        <v>42</v>
      </c>
      <c r="Q329" s="8"/>
      <c r="R329" t="s">
        <v>38</v>
      </c>
      <c r="S32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2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30" spans="1:20">
      <c r="A330" t="s">
        <v>676</v>
      </c>
      <c r="B330" t="s">
        <v>677</v>
      </c>
      <c r="C330" t="s">
        <v>59</v>
      </c>
      <c r="D330" t="s">
        <v>23</v>
      </c>
      <c r="E330" t="s">
        <v>36</v>
      </c>
      <c r="F330" t="s">
        <v>37</v>
      </c>
      <c r="G330" s="5">
        <v>9.8000000000000007</v>
      </c>
      <c r="H330" s="7">
        <v>0.35799999999999998</v>
      </c>
      <c r="I330" s="5" t="s">
        <v>38</v>
      </c>
      <c r="J330" t="s">
        <v>39</v>
      </c>
      <c r="K330" t="s">
        <v>60</v>
      </c>
      <c r="L330" t="s">
        <v>54</v>
      </c>
      <c r="M330" t="s">
        <v>55</v>
      </c>
      <c r="N330" s="8">
        <v>46242</v>
      </c>
      <c r="O330" s="8">
        <v>46246</v>
      </c>
      <c r="P330" t="s">
        <v>50</v>
      </c>
      <c r="Q330" s="8"/>
      <c r="R330" t="s">
        <v>38</v>
      </c>
      <c r="S33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3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31" spans="1:20">
      <c r="A331" t="s">
        <v>678</v>
      </c>
      <c r="B331" t="s">
        <v>679</v>
      </c>
      <c r="C331" t="s">
        <v>22</v>
      </c>
      <c r="D331" t="s">
        <v>23</v>
      </c>
      <c r="E331" t="s">
        <v>146</v>
      </c>
      <c r="F331" t="s">
        <v>147</v>
      </c>
      <c r="G331" s="5">
        <v>7.9</v>
      </c>
      <c r="H331" s="7">
        <v>9.5000000000000001E-2</v>
      </c>
      <c r="I331" s="5" t="s">
        <v>38</v>
      </c>
      <c r="J331" t="s">
        <v>27</v>
      </c>
      <c r="K331" t="s">
        <v>28</v>
      </c>
      <c r="L331" t="s">
        <v>80</v>
      </c>
      <c r="M331" t="s">
        <v>81</v>
      </c>
      <c r="N331" s="8">
        <v>46239</v>
      </c>
      <c r="O331" s="8">
        <v>46253</v>
      </c>
      <c r="P331" t="s">
        <v>91</v>
      </c>
      <c r="Q331" s="8"/>
      <c r="R331" t="s">
        <v>26</v>
      </c>
      <c r="S33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3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32" spans="1:20">
      <c r="A332" t="s">
        <v>680</v>
      </c>
      <c r="B332" t="s">
        <v>277</v>
      </c>
      <c r="C332" t="s">
        <v>59</v>
      </c>
      <c r="D332" t="s">
        <v>23</v>
      </c>
      <c r="E332" t="s">
        <v>116</v>
      </c>
      <c r="F332" t="s">
        <v>37</v>
      </c>
      <c r="G332" s="5">
        <v>8.1</v>
      </c>
      <c r="H332" s="7">
        <v>0.21099999999999999</v>
      </c>
      <c r="I332" s="5" t="s">
        <v>38</v>
      </c>
      <c r="J332" t="s">
        <v>27</v>
      </c>
      <c r="K332" t="s">
        <v>87</v>
      </c>
      <c r="L332" t="s">
        <v>48</v>
      </c>
      <c r="M332" t="s">
        <v>49</v>
      </c>
      <c r="N332" s="8">
        <v>46269</v>
      </c>
      <c r="O332" s="8">
        <v>46283</v>
      </c>
      <c r="P332" t="s">
        <v>42</v>
      </c>
      <c r="Q332" s="8"/>
      <c r="R332" t="s">
        <v>26</v>
      </c>
      <c r="S33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3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33" spans="1:20">
      <c r="A333" t="s">
        <v>681</v>
      </c>
      <c r="B333" t="s">
        <v>287</v>
      </c>
      <c r="C333" t="s">
        <v>22</v>
      </c>
      <c r="D333" t="s">
        <v>84</v>
      </c>
      <c r="E333" t="s">
        <v>116</v>
      </c>
      <c r="F333" t="s">
        <v>37</v>
      </c>
      <c r="G333" s="5">
        <v>8.1</v>
      </c>
      <c r="H333" s="7">
        <v>0.12</v>
      </c>
      <c r="I333" s="5" t="s">
        <v>38</v>
      </c>
      <c r="J333" t="s">
        <v>27</v>
      </c>
      <c r="K333" t="s">
        <v>28</v>
      </c>
      <c r="L333" t="s">
        <v>29</v>
      </c>
      <c r="M333" t="s">
        <v>30</v>
      </c>
      <c r="N333" s="8">
        <v>46260</v>
      </c>
      <c r="O333" s="8">
        <v>46274</v>
      </c>
      <c r="P333" t="s">
        <v>50</v>
      </c>
      <c r="Q333" s="8"/>
      <c r="R333" t="s">
        <v>26</v>
      </c>
      <c r="S33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3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34" spans="1:20">
      <c r="A334" t="s">
        <v>682</v>
      </c>
      <c r="B334" t="s">
        <v>683</v>
      </c>
      <c r="C334" t="s">
        <v>45</v>
      </c>
      <c r="D334" t="s">
        <v>122</v>
      </c>
      <c r="E334" t="s">
        <v>119</v>
      </c>
      <c r="F334" t="s">
        <v>37</v>
      </c>
      <c r="G334" s="5">
        <v>7.8</v>
      </c>
      <c r="H334" s="7">
        <v>0.21</v>
      </c>
      <c r="I334" s="5" t="s">
        <v>38</v>
      </c>
      <c r="J334" t="s">
        <v>27</v>
      </c>
      <c r="K334" t="s">
        <v>28</v>
      </c>
      <c r="L334" t="s">
        <v>29</v>
      </c>
      <c r="M334" t="s">
        <v>65</v>
      </c>
      <c r="N334" s="8">
        <v>46254</v>
      </c>
      <c r="O334" s="8">
        <v>46268</v>
      </c>
      <c r="P334" t="s">
        <v>42</v>
      </c>
      <c r="Q334" s="8"/>
      <c r="R334" t="s">
        <v>26</v>
      </c>
      <c r="S33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33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35" spans="1:20">
      <c r="A335" t="s">
        <v>684</v>
      </c>
      <c r="B335" t="s">
        <v>685</v>
      </c>
      <c r="C335" t="s">
        <v>45</v>
      </c>
      <c r="D335" t="s">
        <v>53</v>
      </c>
      <c r="E335" t="s">
        <v>116</v>
      </c>
      <c r="F335" t="s">
        <v>37</v>
      </c>
      <c r="G335" s="5">
        <v>8.1</v>
      </c>
      <c r="H335" s="7">
        <v>0.61699999999999999</v>
      </c>
      <c r="I335" s="5" t="s">
        <v>38</v>
      </c>
      <c r="J335" t="s">
        <v>39</v>
      </c>
      <c r="K335" t="s">
        <v>28</v>
      </c>
      <c r="L335" t="s">
        <v>80</v>
      </c>
      <c r="M335" t="s">
        <v>96</v>
      </c>
      <c r="N335" s="8">
        <v>46260</v>
      </c>
      <c r="O335" s="8">
        <v>46270</v>
      </c>
      <c r="P335" t="s">
        <v>101</v>
      </c>
      <c r="Q335" s="8">
        <v>46275</v>
      </c>
      <c r="R335" t="s">
        <v>38</v>
      </c>
      <c r="S33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3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36" spans="1:20">
      <c r="A336" t="s">
        <v>686</v>
      </c>
      <c r="B336" t="s">
        <v>374</v>
      </c>
      <c r="C336" t="s">
        <v>58</v>
      </c>
      <c r="D336" t="s">
        <v>104</v>
      </c>
      <c r="E336" t="s">
        <v>116</v>
      </c>
      <c r="F336" t="s">
        <v>37</v>
      </c>
      <c r="G336" s="5">
        <v>8.3000000000000007</v>
      </c>
      <c r="H336" s="7">
        <v>0.20899999999999999</v>
      </c>
      <c r="I336" s="5" t="s">
        <v>26</v>
      </c>
      <c r="J336" t="s">
        <v>27</v>
      </c>
      <c r="K336" t="s">
        <v>28</v>
      </c>
      <c r="L336" t="s">
        <v>40</v>
      </c>
      <c r="M336" t="s">
        <v>41</v>
      </c>
      <c r="N336" s="8">
        <v>46257</v>
      </c>
      <c r="O336" s="8">
        <v>46271</v>
      </c>
      <c r="P336" t="s">
        <v>42</v>
      </c>
      <c r="Q336" s="8"/>
      <c r="R336" t="s">
        <v>26</v>
      </c>
      <c r="S33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33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37" spans="1:20">
      <c r="A337" t="s">
        <v>687</v>
      </c>
      <c r="B337" t="s">
        <v>688</v>
      </c>
      <c r="C337" t="s">
        <v>22</v>
      </c>
      <c r="D337" t="s">
        <v>84</v>
      </c>
      <c r="E337" t="s">
        <v>47</v>
      </c>
      <c r="F337" t="s">
        <v>37</v>
      </c>
      <c r="G337" s="5">
        <v>10</v>
      </c>
      <c r="H337" s="7">
        <v>0.20799999999999999</v>
      </c>
      <c r="I337" s="5" t="s">
        <v>26</v>
      </c>
      <c r="J337" t="s">
        <v>39</v>
      </c>
      <c r="K337" t="s">
        <v>28</v>
      </c>
      <c r="L337" t="s">
        <v>80</v>
      </c>
      <c r="M337" t="s">
        <v>96</v>
      </c>
      <c r="N337" s="8">
        <v>46270</v>
      </c>
      <c r="O337" s="8">
        <v>46273</v>
      </c>
      <c r="P337" t="s">
        <v>42</v>
      </c>
      <c r="Q337" s="8"/>
      <c r="R337" t="s">
        <v>38</v>
      </c>
      <c r="S33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3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38" spans="1:20">
      <c r="A338" t="s">
        <v>689</v>
      </c>
      <c r="B338" t="s">
        <v>461</v>
      </c>
      <c r="C338" t="s">
        <v>34</v>
      </c>
      <c r="D338" t="s">
        <v>59</v>
      </c>
      <c r="E338" t="s">
        <v>125</v>
      </c>
      <c r="F338" t="s">
        <v>126</v>
      </c>
      <c r="G338" s="5">
        <v>9</v>
      </c>
      <c r="H338" s="7">
        <v>0.20799999999999999</v>
      </c>
      <c r="I338" s="5" t="s">
        <v>38</v>
      </c>
      <c r="J338" t="s">
        <v>27</v>
      </c>
      <c r="K338" t="s">
        <v>28</v>
      </c>
      <c r="L338" t="s">
        <v>40</v>
      </c>
      <c r="M338" t="s">
        <v>72</v>
      </c>
      <c r="N338" s="8">
        <v>46249</v>
      </c>
      <c r="O338" s="8">
        <v>46255</v>
      </c>
      <c r="P338" t="s">
        <v>42</v>
      </c>
      <c r="Q338" s="8"/>
      <c r="R338" t="s">
        <v>26</v>
      </c>
      <c r="S33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3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39" spans="1:20">
      <c r="A339" t="s">
        <v>690</v>
      </c>
      <c r="B339" t="s">
        <v>691</v>
      </c>
      <c r="C339" t="s">
        <v>58</v>
      </c>
      <c r="D339" t="s">
        <v>90</v>
      </c>
      <c r="E339" t="s">
        <v>146</v>
      </c>
      <c r="F339" t="s">
        <v>147</v>
      </c>
      <c r="G339" s="5">
        <v>7.7</v>
      </c>
      <c r="H339" s="7">
        <v>0.20799999999999999</v>
      </c>
      <c r="I339" s="5" t="s">
        <v>38</v>
      </c>
      <c r="J339" t="s">
        <v>27</v>
      </c>
      <c r="K339" t="s">
        <v>60</v>
      </c>
      <c r="L339" t="s">
        <v>40</v>
      </c>
      <c r="M339" t="s">
        <v>41</v>
      </c>
      <c r="N339" s="8">
        <v>46242</v>
      </c>
      <c r="O339" s="8">
        <v>46256</v>
      </c>
      <c r="P339" t="s">
        <v>42</v>
      </c>
      <c r="Q339" s="8"/>
      <c r="R339" t="s">
        <v>26</v>
      </c>
      <c r="S33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3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40" spans="1:20">
      <c r="A340" t="s">
        <v>692</v>
      </c>
      <c r="B340" t="s">
        <v>198</v>
      </c>
      <c r="C340" t="s">
        <v>58</v>
      </c>
      <c r="D340" t="s">
        <v>63</v>
      </c>
      <c r="E340" t="s">
        <v>125</v>
      </c>
      <c r="F340" t="s">
        <v>126</v>
      </c>
      <c r="G340" s="5">
        <v>8.8000000000000007</v>
      </c>
      <c r="H340" s="7">
        <v>0.28299999999999997</v>
      </c>
      <c r="I340" s="5" t="s">
        <v>38</v>
      </c>
      <c r="J340" t="s">
        <v>27</v>
      </c>
      <c r="K340" t="s">
        <v>60</v>
      </c>
      <c r="L340" t="s">
        <v>75</v>
      </c>
      <c r="M340" t="s">
        <v>76</v>
      </c>
      <c r="N340" s="8">
        <v>46275</v>
      </c>
      <c r="O340" s="8">
        <v>46289</v>
      </c>
      <c r="P340" t="s">
        <v>101</v>
      </c>
      <c r="Q340" s="8">
        <v>46310</v>
      </c>
      <c r="R340" t="s">
        <v>26</v>
      </c>
      <c r="S34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4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41" spans="1:20">
      <c r="A341" t="s">
        <v>693</v>
      </c>
      <c r="B341" t="s">
        <v>694</v>
      </c>
      <c r="C341" t="s">
        <v>79</v>
      </c>
      <c r="D341" t="s">
        <v>104</v>
      </c>
      <c r="E341" t="s">
        <v>36</v>
      </c>
      <c r="F341" t="s">
        <v>37</v>
      </c>
      <c r="G341" s="5">
        <v>10</v>
      </c>
      <c r="H341" s="7">
        <v>0.20599999999999999</v>
      </c>
      <c r="I341" s="5" t="s">
        <v>38</v>
      </c>
      <c r="J341" t="s">
        <v>27</v>
      </c>
      <c r="K341" t="s">
        <v>60</v>
      </c>
      <c r="L341" t="s">
        <v>48</v>
      </c>
      <c r="M341" t="s">
        <v>49</v>
      </c>
      <c r="N341" s="8">
        <v>46262</v>
      </c>
      <c r="O341" s="8">
        <v>46269</v>
      </c>
      <c r="P341" t="s">
        <v>42</v>
      </c>
      <c r="Q341" s="8"/>
      <c r="R341" t="s">
        <v>26</v>
      </c>
      <c r="S34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34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42" spans="1:20">
      <c r="A342" t="s">
        <v>695</v>
      </c>
      <c r="B342" t="s">
        <v>696</v>
      </c>
      <c r="C342" t="s">
        <v>59</v>
      </c>
      <c r="D342" t="s">
        <v>63</v>
      </c>
      <c r="E342" t="s">
        <v>119</v>
      </c>
      <c r="F342" t="s">
        <v>37</v>
      </c>
      <c r="G342" s="5">
        <v>7.8</v>
      </c>
      <c r="H342" s="7">
        <v>0.58599999999999997</v>
      </c>
      <c r="I342" s="5" t="s">
        <v>38</v>
      </c>
      <c r="J342" t="s">
        <v>39</v>
      </c>
      <c r="K342" t="s">
        <v>28</v>
      </c>
      <c r="L342" t="s">
        <v>40</v>
      </c>
      <c r="M342" t="s">
        <v>72</v>
      </c>
      <c r="N342" s="8">
        <v>46243</v>
      </c>
      <c r="O342" s="8">
        <v>46254</v>
      </c>
      <c r="P342" t="s">
        <v>101</v>
      </c>
      <c r="Q342" s="8">
        <v>46252</v>
      </c>
      <c r="R342" t="s">
        <v>38</v>
      </c>
      <c r="S34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4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43" spans="1:20">
      <c r="A343" t="s">
        <v>697</v>
      </c>
      <c r="B343" t="s">
        <v>698</v>
      </c>
      <c r="C343" t="s">
        <v>59</v>
      </c>
      <c r="D343" t="s">
        <v>53</v>
      </c>
      <c r="E343" t="s">
        <v>216</v>
      </c>
      <c r="F343" t="s">
        <v>217</v>
      </c>
      <c r="G343" s="5">
        <v>9.1</v>
      </c>
      <c r="H343" s="7">
        <v>0.20499999999999999</v>
      </c>
      <c r="I343" s="5" t="s">
        <v>38</v>
      </c>
      <c r="J343" t="s">
        <v>27</v>
      </c>
      <c r="K343" t="s">
        <v>28</v>
      </c>
      <c r="L343" t="s">
        <v>99</v>
      </c>
      <c r="M343" t="s">
        <v>100</v>
      </c>
      <c r="N343" s="8">
        <v>46254</v>
      </c>
      <c r="O343" s="8">
        <v>46261</v>
      </c>
      <c r="P343" t="s">
        <v>42</v>
      </c>
      <c r="Q343" s="8"/>
      <c r="R343" t="s">
        <v>26</v>
      </c>
      <c r="S34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4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44" spans="1:20">
      <c r="A344" t="s">
        <v>699</v>
      </c>
      <c r="B344" t="s">
        <v>700</v>
      </c>
      <c r="C344" t="s">
        <v>59</v>
      </c>
      <c r="D344" t="s">
        <v>109</v>
      </c>
      <c r="E344" t="s">
        <v>201</v>
      </c>
      <c r="F344" t="s">
        <v>202</v>
      </c>
      <c r="G344" s="5">
        <v>9.8000000000000007</v>
      </c>
      <c r="H344" s="7">
        <v>8.5999999999999993E-2</v>
      </c>
      <c r="I344" s="5" t="s">
        <v>38</v>
      </c>
      <c r="J344" t="s">
        <v>39</v>
      </c>
      <c r="K344" t="s">
        <v>28</v>
      </c>
      <c r="L344" t="s">
        <v>99</v>
      </c>
      <c r="M344" t="s">
        <v>100</v>
      </c>
      <c r="N344" s="8">
        <v>46239</v>
      </c>
      <c r="O344" s="8">
        <v>46246</v>
      </c>
      <c r="P344" t="s">
        <v>50</v>
      </c>
      <c r="Q344" s="8"/>
      <c r="R344" t="s">
        <v>38</v>
      </c>
      <c r="S34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4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45" spans="1:20">
      <c r="A345" t="s">
        <v>701</v>
      </c>
      <c r="B345" t="s">
        <v>702</v>
      </c>
      <c r="C345" t="s">
        <v>22</v>
      </c>
      <c r="D345" t="s">
        <v>109</v>
      </c>
      <c r="E345" t="s">
        <v>216</v>
      </c>
      <c r="F345" t="s">
        <v>217</v>
      </c>
      <c r="G345" s="5">
        <v>9.1</v>
      </c>
      <c r="H345" s="7">
        <v>0.20499999999999999</v>
      </c>
      <c r="I345" s="5" t="s">
        <v>38</v>
      </c>
      <c r="J345" t="s">
        <v>39</v>
      </c>
      <c r="K345" t="s">
        <v>28</v>
      </c>
      <c r="L345" t="s">
        <v>29</v>
      </c>
      <c r="M345" t="s">
        <v>65</v>
      </c>
      <c r="N345" s="8">
        <v>46273</v>
      </c>
      <c r="O345" s="8">
        <v>46280</v>
      </c>
      <c r="P345" t="s">
        <v>42</v>
      </c>
      <c r="Q345" s="8"/>
      <c r="R345" t="s">
        <v>38</v>
      </c>
      <c r="S34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4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46" spans="1:20">
      <c r="A346" t="s">
        <v>703</v>
      </c>
      <c r="B346" t="s">
        <v>112</v>
      </c>
      <c r="C346" t="s">
        <v>34</v>
      </c>
      <c r="D346" t="s">
        <v>46</v>
      </c>
      <c r="E346" t="s">
        <v>216</v>
      </c>
      <c r="F346" t="s">
        <v>217</v>
      </c>
      <c r="G346" s="5">
        <v>9.1</v>
      </c>
      <c r="H346" s="7">
        <v>0.30199999999999999</v>
      </c>
      <c r="I346" s="5" t="s">
        <v>38</v>
      </c>
      <c r="J346" t="s">
        <v>39</v>
      </c>
      <c r="K346" t="s">
        <v>28</v>
      </c>
      <c r="L346" t="s">
        <v>80</v>
      </c>
      <c r="M346" t="s">
        <v>96</v>
      </c>
      <c r="N346" s="8">
        <v>46254</v>
      </c>
      <c r="O346" s="8">
        <v>46261</v>
      </c>
      <c r="P346" t="s">
        <v>91</v>
      </c>
      <c r="Q346" s="8"/>
      <c r="R346" t="s">
        <v>38</v>
      </c>
      <c r="S34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4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47" spans="1:20">
      <c r="A347" t="s">
        <v>704</v>
      </c>
      <c r="B347" t="s">
        <v>705</v>
      </c>
      <c r="C347" t="s">
        <v>45</v>
      </c>
      <c r="D347" t="s">
        <v>53</v>
      </c>
      <c r="E347" t="s">
        <v>64</v>
      </c>
      <c r="F347" t="s">
        <v>37</v>
      </c>
      <c r="G347" s="5">
        <v>9.8000000000000007</v>
      </c>
      <c r="H347" s="7">
        <v>0.20300000000000001</v>
      </c>
      <c r="I347" s="5" t="s">
        <v>26</v>
      </c>
      <c r="J347" t="s">
        <v>39</v>
      </c>
      <c r="K347" t="s">
        <v>60</v>
      </c>
      <c r="L347" t="s">
        <v>54</v>
      </c>
      <c r="M347" t="s">
        <v>55</v>
      </c>
      <c r="N347" s="8">
        <v>46252</v>
      </c>
      <c r="O347" s="8">
        <v>46259</v>
      </c>
      <c r="P347" t="s">
        <v>42</v>
      </c>
      <c r="Q347" s="8"/>
      <c r="R347" t="s">
        <v>38</v>
      </c>
      <c r="S34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34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48" spans="1:20">
      <c r="A348" t="s">
        <v>706</v>
      </c>
      <c r="B348" t="s">
        <v>707</v>
      </c>
      <c r="C348" t="s">
        <v>22</v>
      </c>
      <c r="D348" t="s">
        <v>109</v>
      </c>
      <c r="E348" t="s">
        <v>64</v>
      </c>
      <c r="F348" t="s">
        <v>37</v>
      </c>
      <c r="G348" s="5">
        <v>9.8000000000000007</v>
      </c>
      <c r="H348" s="7">
        <v>0.20200000000000001</v>
      </c>
      <c r="I348" s="5" t="s">
        <v>26</v>
      </c>
      <c r="J348" t="s">
        <v>110</v>
      </c>
      <c r="K348" t="s">
        <v>28</v>
      </c>
      <c r="L348" t="s">
        <v>99</v>
      </c>
      <c r="M348" t="s">
        <v>100</v>
      </c>
      <c r="N348" s="8">
        <v>46263</v>
      </c>
      <c r="O348" s="8">
        <v>46270</v>
      </c>
      <c r="P348" t="s">
        <v>42</v>
      </c>
      <c r="Q348" s="8"/>
      <c r="R348" t="s">
        <v>38</v>
      </c>
      <c r="S34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34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49" spans="1:20">
      <c r="A349" t="s">
        <v>708</v>
      </c>
      <c r="B349" t="s">
        <v>211</v>
      </c>
      <c r="C349" t="s">
        <v>59</v>
      </c>
      <c r="D349" t="s">
        <v>122</v>
      </c>
      <c r="E349" t="s">
        <v>64</v>
      </c>
      <c r="F349" t="s">
        <v>37</v>
      </c>
      <c r="G349" s="5">
        <v>9.8000000000000007</v>
      </c>
      <c r="H349" s="7">
        <v>0.20100000000000001</v>
      </c>
      <c r="I349" s="5" t="s">
        <v>26</v>
      </c>
      <c r="J349" t="s">
        <v>39</v>
      </c>
      <c r="K349" t="s">
        <v>60</v>
      </c>
      <c r="L349" t="s">
        <v>54</v>
      </c>
      <c r="M349" t="s">
        <v>55</v>
      </c>
      <c r="N349" s="8">
        <v>46253</v>
      </c>
      <c r="O349" s="8">
        <v>46260</v>
      </c>
      <c r="P349" t="s">
        <v>42</v>
      </c>
      <c r="Q349" s="8"/>
      <c r="R349" t="s">
        <v>38</v>
      </c>
      <c r="S34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34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50" spans="1:20">
      <c r="A350" t="s">
        <v>709</v>
      </c>
      <c r="B350" t="s">
        <v>557</v>
      </c>
      <c r="C350" t="s">
        <v>79</v>
      </c>
      <c r="D350" t="s">
        <v>59</v>
      </c>
      <c r="E350" t="s">
        <v>119</v>
      </c>
      <c r="F350" t="s">
        <v>37</v>
      </c>
      <c r="G350" s="5">
        <v>8.1999999999999993</v>
      </c>
      <c r="H350" s="7">
        <v>0.20100000000000001</v>
      </c>
      <c r="I350" s="5" t="s">
        <v>38</v>
      </c>
      <c r="J350" t="s">
        <v>27</v>
      </c>
      <c r="K350" t="s">
        <v>28</v>
      </c>
      <c r="L350" t="s">
        <v>48</v>
      </c>
      <c r="M350" t="s">
        <v>49</v>
      </c>
      <c r="N350" s="8">
        <v>46258</v>
      </c>
      <c r="O350" s="8">
        <v>46272</v>
      </c>
      <c r="P350" t="s">
        <v>42</v>
      </c>
      <c r="Q350" s="8"/>
      <c r="R350" t="s">
        <v>26</v>
      </c>
      <c r="S35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35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51" spans="1:20">
      <c r="A351" t="s">
        <v>710</v>
      </c>
      <c r="B351" t="s">
        <v>711</v>
      </c>
      <c r="C351" t="s">
        <v>58</v>
      </c>
      <c r="D351" t="s">
        <v>104</v>
      </c>
      <c r="E351" t="s">
        <v>119</v>
      </c>
      <c r="F351" t="s">
        <v>37</v>
      </c>
      <c r="G351" s="5">
        <v>8</v>
      </c>
      <c r="H351" s="7">
        <v>0.17899999999999999</v>
      </c>
      <c r="I351" s="5" t="s">
        <v>38</v>
      </c>
      <c r="J351" t="s">
        <v>27</v>
      </c>
      <c r="K351" t="s">
        <v>28</v>
      </c>
      <c r="L351" t="s">
        <v>80</v>
      </c>
      <c r="M351" t="s">
        <v>81</v>
      </c>
      <c r="N351" s="8">
        <v>46273</v>
      </c>
      <c r="O351" s="8">
        <v>46287</v>
      </c>
      <c r="P351" t="s">
        <v>50</v>
      </c>
      <c r="Q351" s="8"/>
      <c r="R351" t="s">
        <v>26</v>
      </c>
      <c r="S35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5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52" spans="1:20">
      <c r="A352" t="s">
        <v>712</v>
      </c>
      <c r="B352" t="s">
        <v>713</v>
      </c>
      <c r="C352" t="s">
        <v>45</v>
      </c>
      <c r="D352" t="s">
        <v>104</v>
      </c>
      <c r="E352" t="s">
        <v>24</v>
      </c>
      <c r="F352" t="s">
        <v>25</v>
      </c>
      <c r="G352" s="5">
        <v>10</v>
      </c>
      <c r="H352" s="7">
        <v>0.19900000000000001</v>
      </c>
      <c r="I352" s="5" t="s">
        <v>38</v>
      </c>
      <c r="J352" t="s">
        <v>27</v>
      </c>
      <c r="K352" t="s">
        <v>60</v>
      </c>
      <c r="L352" t="s">
        <v>80</v>
      </c>
      <c r="M352" t="s">
        <v>81</v>
      </c>
      <c r="N352" s="8">
        <v>46270</v>
      </c>
      <c r="O352" s="8">
        <v>46277</v>
      </c>
      <c r="P352" t="s">
        <v>42</v>
      </c>
      <c r="Q352" s="8"/>
      <c r="R352" t="s">
        <v>26</v>
      </c>
      <c r="S35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5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53" spans="1:20">
      <c r="A353" t="s">
        <v>714</v>
      </c>
      <c r="B353" t="s">
        <v>715</v>
      </c>
      <c r="C353" t="s">
        <v>59</v>
      </c>
      <c r="D353" t="s">
        <v>84</v>
      </c>
      <c r="E353" t="s">
        <v>146</v>
      </c>
      <c r="F353" t="s">
        <v>147</v>
      </c>
      <c r="G353" s="5">
        <v>7.5</v>
      </c>
      <c r="H353" s="7">
        <v>0.19900000000000001</v>
      </c>
      <c r="I353" s="5" t="s">
        <v>38</v>
      </c>
      <c r="J353" t="s">
        <v>110</v>
      </c>
      <c r="K353" t="s">
        <v>87</v>
      </c>
      <c r="L353" t="s">
        <v>40</v>
      </c>
      <c r="M353" t="s">
        <v>72</v>
      </c>
      <c r="N353" s="8">
        <v>46267</v>
      </c>
      <c r="O353" s="8">
        <v>46281</v>
      </c>
      <c r="P353" t="s">
        <v>42</v>
      </c>
      <c r="Q353" s="8"/>
      <c r="R353" t="s">
        <v>38</v>
      </c>
      <c r="S35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35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54" spans="1:20">
      <c r="A354" t="s">
        <v>716</v>
      </c>
      <c r="B354" t="s">
        <v>601</v>
      </c>
      <c r="C354" t="s">
        <v>22</v>
      </c>
      <c r="D354" t="s">
        <v>46</v>
      </c>
      <c r="E354" t="s">
        <v>146</v>
      </c>
      <c r="F354" t="s">
        <v>147</v>
      </c>
      <c r="G354" s="5">
        <v>7.5</v>
      </c>
      <c r="H354" s="7">
        <v>0.19800000000000001</v>
      </c>
      <c r="I354" s="5" t="s">
        <v>38</v>
      </c>
      <c r="J354" t="s">
        <v>110</v>
      </c>
      <c r="K354" t="s">
        <v>28</v>
      </c>
      <c r="L354" t="s">
        <v>48</v>
      </c>
      <c r="M354" t="s">
        <v>132</v>
      </c>
      <c r="N354" s="8">
        <v>46259</v>
      </c>
      <c r="O354" s="8">
        <v>46273</v>
      </c>
      <c r="P354" t="s">
        <v>42</v>
      </c>
      <c r="Q354" s="8"/>
      <c r="R354" t="s">
        <v>38</v>
      </c>
      <c r="S35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35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55" spans="1:20">
      <c r="A355" t="s">
        <v>717</v>
      </c>
      <c r="B355" t="s">
        <v>78</v>
      </c>
      <c r="C355" t="s">
        <v>79</v>
      </c>
      <c r="D355" t="s">
        <v>84</v>
      </c>
      <c r="E355" t="s">
        <v>146</v>
      </c>
      <c r="F355" t="s">
        <v>147</v>
      </c>
      <c r="G355" s="5">
        <v>7.5</v>
      </c>
      <c r="H355" s="7">
        <v>0.19700000000000001</v>
      </c>
      <c r="I355" s="5" t="s">
        <v>38</v>
      </c>
      <c r="J355" t="s">
        <v>27</v>
      </c>
      <c r="K355" t="s">
        <v>87</v>
      </c>
      <c r="L355" t="s">
        <v>99</v>
      </c>
      <c r="M355" t="s">
        <v>100</v>
      </c>
      <c r="N355" s="8">
        <v>46264</v>
      </c>
      <c r="O355" s="8">
        <v>46278</v>
      </c>
      <c r="P355" t="s">
        <v>42</v>
      </c>
      <c r="Q355" s="8"/>
      <c r="R355" t="s">
        <v>26</v>
      </c>
      <c r="S35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35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56" spans="1:20">
      <c r="A356" t="s">
        <v>718</v>
      </c>
      <c r="B356" t="s">
        <v>719</v>
      </c>
      <c r="C356" t="s">
        <v>22</v>
      </c>
      <c r="D356" t="s">
        <v>63</v>
      </c>
      <c r="E356" t="s">
        <v>201</v>
      </c>
      <c r="F356" t="s">
        <v>202</v>
      </c>
      <c r="G356" s="5">
        <v>9.8000000000000007</v>
      </c>
      <c r="H356" s="7">
        <v>0.39600000000000002</v>
      </c>
      <c r="I356" s="5" t="s">
        <v>38</v>
      </c>
      <c r="J356" t="s">
        <v>39</v>
      </c>
      <c r="K356" t="s">
        <v>60</v>
      </c>
      <c r="L356" t="s">
        <v>54</v>
      </c>
      <c r="M356" t="s">
        <v>55</v>
      </c>
      <c r="N356" s="8">
        <v>46248</v>
      </c>
      <c r="O356" s="8">
        <v>46255</v>
      </c>
      <c r="P356" t="s">
        <v>50</v>
      </c>
      <c r="Q356" s="8"/>
      <c r="R356" t="s">
        <v>38</v>
      </c>
      <c r="S35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5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57" spans="1:20">
      <c r="A357" t="s">
        <v>720</v>
      </c>
      <c r="B357" t="s">
        <v>721</v>
      </c>
      <c r="C357" t="s">
        <v>58</v>
      </c>
      <c r="D357" t="s">
        <v>35</v>
      </c>
      <c r="E357" t="s">
        <v>64</v>
      </c>
      <c r="F357" t="s">
        <v>37</v>
      </c>
      <c r="G357" s="5">
        <v>9.8000000000000007</v>
      </c>
      <c r="H357" s="7">
        <v>0.16600000000000001</v>
      </c>
      <c r="I357" s="5" t="s">
        <v>38</v>
      </c>
      <c r="J357" t="s">
        <v>39</v>
      </c>
      <c r="K357" t="s">
        <v>28</v>
      </c>
      <c r="L357" t="s">
        <v>40</v>
      </c>
      <c r="M357" t="s">
        <v>72</v>
      </c>
      <c r="N357" s="8">
        <v>46265</v>
      </c>
      <c r="O357" s="8">
        <v>46272</v>
      </c>
      <c r="P357" t="s">
        <v>101</v>
      </c>
      <c r="Q357" s="8">
        <v>46277</v>
      </c>
      <c r="R357" t="s">
        <v>38</v>
      </c>
      <c r="S35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5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58" spans="1:20">
      <c r="A358" t="s">
        <v>722</v>
      </c>
      <c r="B358" t="s">
        <v>723</v>
      </c>
      <c r="C358" t="s">
        <v>59</v>
      </c>
      <c r="D358" t="s">
        <v>84</v>
      </c>
      <c r="E358" t="s">
        <v>36</v>
      </c>
      <c r="F358" t="s">
        <v>37</v>
      </c>
      <c r="G358" s="5">
        <v>9.8000000000000007</v>
      </c>
      <c r="H358" s="7">
        <v>0.19600000000000001</v>
      </c>
      <c r="I358" s="5" t="s">
        <v>38</v>
      </c>
      <c r="J358" t="s">
        <v>39</v>
      </c>
      <c r="K358" t="s">
        <v>28</v>
      </c>
      <c r="L358" t="s">
        <v>80</v>
      </c>
      <c r="M358" t="s">
        <v>96</v>
      </c>
      <c r="N358" s="8">
        <v>46258</v>
      </c>
      <c r="O358" s="8">
        <v>46265</v>
      </c>
      <c r="P358" t="s">
        <v>42</v>
      </c>
      <c r="Q358" s="8"/>
      <c r="R358" t="s">
        <v>38</v>
      </c>
      <c r="S35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5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59" spans="1:20">
      <c r="A359" t="s">
        <v>724</v>
      </c>
      <c r="B359" t="s">
        <v>725</v>
      </c>
      <c r="C359" t="s">
        <v>45</v>
      </c>
      <c r="D359" t="s">
        <v>46</v>
      </c>
      <c r="E359" t="s">
        <v>201</v>
      </c>
      <c r="F359" t="s">
        <v>202</v>
      </c>
      <c r="G359" s="5">
        <v>9.8000000000000007</v>
      </c>
      <c r="H359" s="7">
        <v>0.112</v>
      </c>
      <c r="I359" s="5" t="s">
        <v>38</v>
      </c>
      <c r="J359" t="s">
        <v>110</v>
      </c>
      <c r="K359" t="s">
        <v>28</v>
      </c>
      <c r="L359" t="s">
        <v>48</v>
      </c>
      <c r="M359" t="s">
        <v>49</v>
      </c>
      <c r="N359" s="8">
        <v>46272</v>
      </c>
      <c r="O359" s="8">
        <v>46279</v>
      </c>
      <c r="P359" t="s">
        <v>101</v>
      </c>
      <c r="Q359" s="8">
        <v>46306</v>
      </c>
      <c r="R359" t="s">
        <v>38</v>
      </c>
      <c r="S35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5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60" spans="1:20">
      <c r="A360" t="s">
        <v>726</v>
      </c>
      <c r="B360" t="s">
        <v>151</v>
      </c>
      <c r="C360" t="s">
        <v>22</v>
      </c>
      <c r="D360" t="s">
        <v>35</v>
      </c>
      <c r="E360" t="s">
        <v>119</v>
      </c>
      <c r="F360" t="s">
        <v>37</v>
      </c>
      <c r="G360" s="5">
        <v>7.8</v>
      </c>
      <c r="H360" s="7">
        <v>0.19500000000000001</v>
      </c>
      <c r="I360" s="5" t="s">
        <v>38</v>
      </c>
      <c r="J360" t="s">
        <v>110</v>
      </c>
      <c r="K360" t="s">
        <v>87</v>
      </c>
      <c r="L360" t="s">
        <v>40</v>
      </c>
      <c r="M360" t="s">
        <v>72</v>
      </c>
      <c r="N360" s="8">
        <v>46240</v>
      </c>
      <c r="O360" s="8">
        <v>46254</v>
      </c>
      <c r="P360" t="s">
        <v>42</v>
      </c>
      <c r="Q360" s="8"/>
      <c r="R360" t="s">
        <v>38</v>
      </c>
      <c r="S36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36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61" spans="1:20">
      <c r="A361" t="s">
        <v>727</v>
      </c>
      <c r="B361" t="s">
        <v>728</v>
      </c>
      <c r="C361" t="s">
        <v>59</v>
      </c>
      <c r="D361" t="s">
        <v>104</v>
      </c>
      <c r="E361" t="s">
        <v>201</v>
      </c>
      <c r="F361" t="s">
        <v>202</v>
      </c>
      <c r="G361" s="5">
        <v>9.8000000000000007</v>
      </c>
      <c r="H361" s="7">
        <v>0.34699999999999998</v>
      </c>
      <c r="I361" s="5" t="s">
        <v>38</v>
      </c>
      <c r="J361" t="s">
        <v>110</v>
      </c>
      <c r="K361" t="s">
        <v>60</v>
      </c>
      <c r="L361" t="s">
        <v>48</v>
      </c>
      <c r="M361" t="s">
        <v>132</v>
      </c>
      <c r="N361" s="8">
        <v>46261</v>
      </c>
      <c r="O361" s="8">
        <v>46268</v>
      </c>
      <c r="P361" t="s">
        <v>50</v>
      </c>
      <c r="Q361" s="8"/>
      <c r="R361" t="s">
        <v>38</v>
      </c>
      <c r="S36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6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62" spans="1:20">
      <c r="A362" t="s">
        <v>729</v>
      </c>
      <c r="B362" t="s">
        <v>730</v>
      </c>
      <c r="C362" t="s">
        <v>59</v>
      </c>
      <c r="D362" t="s">
        <v>84</v>
      </c>
      <c r="E362" t="s">
        <v>201</v>
      </c>
      <c r="F362" t="s">
        <v>202</v>
      </c>
      <c r="G362" s="5">
        <v>9.8000000000000007</v>
      </c>
      <c r="H362" s="7">
        <v>0.193</v>
      </c>
      <c r="I362" s="5" t="s">
        <v>38</v>
      </c>
      <c r="J362" t="s">
        <v>39</v>
      </c>
      <c r="K362" t="s">
        <v>87</v>
      </c>
      <c r="L362" t="s">
        <v>75</v>
      </c>
      <c r="M362" t="s">
        <v>129</v>
      </c>
      <c r="N362" s="8">
        <v>46258</v>
      </c>
      <c r="O362" s="8">
        <v>46265</v>
      </c>
      <c r="P362" t="s">
        <v>42</v>
      </c>
      <c r="Q362" s="8"/>
      <c r="R362" t="s">
        <v>38</v>
      </c>
      <c r="S36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36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63" spans="1:20">
      <c r="A363" t="s">
        <v>731</v>
      </c>
      <c r="B363" t="s">
        <v>732</v>
      </c>
      <c r="C363" t="s">
        <v>58</v>
      </c>
      <c r="D363" t="s">
        <v>122</v>
      </c>
      <c r="E363" t="s">
        <v>116</v>
      </c>
      <c r="F363" t="s">
        <v>37</v>
      </c>
      <c r="G363" s="5">
        <v>8.1</v>
      </c>
      <c r="H363" s="7">
        <v>0.152</v>
      </c>
      <c r="I363" s="5" t="s">
        <v>26</v>
      </c>
      <c r="J363" t="s">
        <v>39</v>
      </c>
      <c r="K363" t="s">
        <v>60</v>
      </c>
      <c r="L363" t="s">
        <v>40</v>
      </c>
      <c r="M363" t="s">
        <v>72</v>
      </c>
      <c r="N363" s="8">
        <v>46238</v>
      </c>
      <c r="O363" s="8">
        <v>46249</v>
      </c>
      <c r="P363" t="s">
        <v>50</v>
      </c>
      <c r="Q363" s="8"/>
      <c r="R363" t="s">
        <v>38</v>
      </c>
      <c r="S36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6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64" spans="1:20">
      <c r="A364" t="s">
        <v>733</v>
      </c>
      <c r="B364" t="s">
        <v>734</v>
      </c>
      <c r="C364" t="s">
        <v>79</v>
      </c>
      <c r="D364" t="s">
        <v>113</v>
      </c>
      <c r="E364" t="s">
        <v>36</v>
      </c>
      <c r="F364" t="s">
        <v>37</v>
      </c>
      <c r="G364" s="5">
        <v>9.8000000000000007</v>
      </c>
      <c r="H364" s="7">
        <v>0.15</v>
      </c>
      <c r="I364" s="5" t="s">
        <v>38</v>
      </c>
      <c r="J364" t="s">
        <v>39</v>
      </c>
      <c r="K364" t="s">
        <v>28</v>
      </c>
      <c r="L364" t="s">
        <v>75</v>
      </c>
      <c r="M364" t="s">
        <v>76</v>
      </c>
      <c r="N364" s="8">
        <v>46250</v>
      </c>
      <c r="O364" s="8">
        <v>46257</v>
      </c>
      <c r="P364" t="s">
        <v>31</v>
      </c>
      <c r="Q364" s="8">
        <v>46262</v>
      </c>
      <c r="R364" t="s">
        <v>38</v>
      </c>
      <c r="S36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6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65" spans="1:20">
      <c r="A365" t="s">
        <v>735</v>
      </c>
      <c r="B365" t="s">
        <v>736</v>
      </c>
      <c r="C365" t="s">
        <v>22</v>
      </c>
      <c r="D365" t="s">
        <v>59</v>
      </c>
      <c r="E365" t="s">
        <v>70</v>
      </c>
      <c r="F365" t="s">
        <v>71</v>
      </c>
      <c r="G365" s="5">
        <v>9.8000000000000007</v>
      </c>
      <c r="H365" s="7">
        <v>0.13500000000000001</v>
      </c>
      <c r="I365" s="5" t="s">
        <v>38</v>
      </c>
      <c r="J365" t="s">
        <v>39</v>
      </c>
      <c r="K365" t="s">
        <v>28</v>
      </c>
      <c r="L365" t="s">
        <v>75</v>
      </c>
      <c r="M365" t="s">
        <v>129</v>
      </c>
      <c r="N365" s="8">
        <v>46244</v>
      </c>
      <c r="O365" s="8">
        <v>46251</v>
      </c>
      <c r="P365" t="s">
        <v>31</v>
      </c>
      <c r="Q365" s="8">
        <v>46276</v>
      </c>
      <c r="R365" t="s">
        <v>38</v>
      </c>
      <c r="S36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6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66" spans="1:20">
      <c r="A366" t="s">
        <v>737</v>
      </c>
      <c r="B366" t="s">
        <v>738</v>
      </c>
      <c r="C366" t="s">
        <v>59</v>
      </c>
      <c r="D366" t="s">
        <v>46</v>
      </c>
      <c r="E366" t="s">
        <v>146</v>
      </c>
      <c r="F366" t="s">
        <v>147</v>
      </c>
      <c r="G366" s="5">
        <v>7.5</v>
      </c>
      <c r="H366" s="7">
        <v>0.192</v>
      </c>
      <c r="I366" s="5" t="s">
        <v>38</v>
      </c>
      <c r="J366" t="s">
        <v>39</v>
      </c>
      <c r="K366" t="s">
        <v>87</v>
      </c>
      <c r="L366" t="s">
        <v>48</v>
      </c>
      <c r="M366" t="s">
        <v>132</v>
      </c>
      <c r="N366" s="8">
        <v>46265</v>
      </c>
      <c r="O366" s="8">
        <v>46279</v>
      </c>
      <c r="P366" t="s">
        <v>42</v>
      </c>
      <c r="Q366" s="8"/>
      <c r="R366" t="s">
        <v>38</v>
      </c>
      <c r="S36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36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67" spans="1:20">
      <c r="A367" t="s">
        <v>739</v>
      </c>
      <c r="B367" t="s">
        <v>590</v>
      </c>
      <c r="C367" t="s">
        <v>59</v>
      </c>
      <c r="D367" t="s">
        <v>109</v>
      </c>
      <c r="E367" t="s">
        <v>64</v>
      </c>
      <c r="F367" t="s">
        <v>37</v>
      </c>
      <c r="G367" s="5">
        <v>9.8000000000000007</v>
      </c>
      <c r="H367" s="7">
        <v>0.189</v>
      </c>
      <c r="I367" s="5" t="s">
        <v>26</v>
      </c>
      <c r="J367" t="s">
        <v>27</v>
      </c>
      <c r="K367" t="s">
        <v>28</v>
      </c>
      <c r="L367" t="s">
        <v>80</v>
      </c>
      <c r="M367" t="s">
        <v>81</v>
      </c>
      <c r="N367" s="8">
        <v>46241</v>
      </c>
      <c r="O367" s="8">
        <v>46248</v>
      </c>
      <c r="P367" t="s">
        <v>42</v>
      </c>
      <c r="Q367" s="8"/>
      <c r="R367" t="s">
        <v>26</v>
      </c>
      <c r="S36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36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68" spans="1:20">
      <c r="A368" t="s">
        <v>740</v>
      </c>
      <c r="B368" t="s">
        <v>741</v>
      </c>
      <c r="C368" t="s">
        <v>58</v>
      </c>
      <c r="D368" t="s">
        <v>23</v>
      </c>
      <c r="E368" t="s">
        <v>36</v>
      </c>
      <c r="F368" t="s">
        <v>37</v>
      </c>
      <c r="G368" s="5">
        <v>9.8000000000000007</v>
      </c>
      <c r="H368" s="7">
        <v>0.51400000000000001</v>
      </c>
      <c r="I368" s="5" t="s">
        <v>38</v>
      </c>
      <c r="J368" t="s">
        <v>110</v>
      </c>
      <c r="K368" t="s">
        <v>87</v>
      </c>
      <c r="L368" t="s">
        <v>48</v>
      </c>
      <c r="M368" t="s">
        <v>132</v>
      </c>
      <c r="N368" s="8">
        <v>46268</v>
      </c>
      <c r="O368" s="8">
        <v>46275</v>
      </c>
      <c r="P368" t="s">
        <v>91</v>
      </c>
      <c r="Q368" s="8"/>
      <c r="R368" t="s">
        <v>38</v>
      </c>
      <c r="S36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6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69" spans="1:20">
      <c r="A369" t="s">
        <v>742</v>
      </c>
      <c r="B369" t="s">
        <v>402</v>
      </c>
      <c r="C369" t="s">
        <v>58</v>
      </c>
      <c r="D369" t="s">
        <v>53</v>
      </c>
      <c r="E369" t="s">
        <v>36</v>
      </c>
      <c r="F369" t="s">
        <v>37</v>
      </c>
      <c r="G369" s="5">
        <v>9.8000000000000007</v>
      </c>
      <c r="H369" s="7">
        <v>0.19</v>
      </c>
      <c r="I369" s="5" t="s">
        <v>38</v>
      </c>
      <c r="J369" t="s">
        <v>39</v>
      </c>
      <c r="K369" t="s">
        <v>60</v>
      </c>
      <c r="L369" t="s">
        <v>48</v>
      </c>
      <c r="M369" t="s">
        <v>49</v>
      </c>
      <c r="N369" s="8">
        <v>46248</v>
      </c>
      <c r="O369" s="8">
        <v>46255</v>
      </c>
      <c r="P369" t="s">
        <v>50</v>
      </c>
      <c r="Q369" s="8"/>
      <c r="R369" t="s">
        <v>38</v>
      </c>
      <c r="S36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6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0" spans="1:20">
      <c r="A370" t="s">
        <v>743</v>
      </c>
      <c r="B370" t="s">
        <v>744</v>
      </c>
      <c r="C370" t="s">
        <v>45</v>
      </c>
      <c r="D370" t="s">
        <v>23</v>
      </c>
      <c r="E370" t="s">
        <v>201</v>
      </c>
      <c r="F370" t="s">
        <v>202</v>
      </c>
      <c r="G370" s="5">
        <v>9.8000000000000007</v>
      </c>
      <c r="H370" s="7">
        <v>0.34300000000000003</v>
      </c>
      <c r="I370" s="5" t="s">
        <v>38</v>
      </c>
      <c r="J370" t="s">
        <v>39</v>
      </c>
      <c r="K370" t="s">
        <v>87</v>
      </c>
      <c r="L370" t="s">
        <v>48</v>
      </c>
      <c r="M370" t="s">
        <v>49</v>
      </c>
      <c r="N370" s="8">
        <v>46250</v>
      </c>
      <c r="O370" s="8">
        <v>46253</v>
      </c>
      <c r="P370" t="s">
        <v>101</v>
      </c>
      <c r="Q370" s="8">
        <v>46269</v>
      </c>
      <c r="R370" t="s">
        <v>38</v>
      </c>
      <c r="S37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7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1" spans="1:20">
      <c r="A371" t="s">
        <v>745</v>
      </c>
      <c r="B371" t="s">
        <v>746</v>
      </c>
      <c r="C371" t="s">
        <v>59</v>
      </c>
      <c r="D371" t="s">
        <v>53</v>
      </c>
      <c r="E371" t="s">
        <v>116</v>
      </c>
      <c r="F371" t="s">
        <v>37</v>
      </c>
      <c r="G371" s="5">
        <v>8.1</v>
      </c>
      <c r="H371" s="7">
        <v>0.127</v>
      </c>
      <c r="I371" s="5" t="s">
        <v>26</v>
      </c>
      <c r="J371" t="s">
        <v>39</v>
      </c>
      <c r="K371" t="s">
        <v>87</v>
      </c>
      <c r="L371" t="s">
        <v>40</v>
      </c>
      <c r="M371" t="s">
        <v>72</v>
      </c>
      <c r="N371" s="8">
        <v>46252</v>
      </c>
      <c r="O371" s="8">
        <v>46266</v>
      </c>
      <c r="P371" t="s">
        <v>101</v>
      </c>
      <c r="Q371" s="8">
        <v>46267</v>
      </c>
      <c r="R371" t="s">
        <v>38</v>
      </c>
      <c r="S37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7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2" spans="1:20">
      <c r="A372" t="s">
        <v>747</v>
      </c>
      <c r="B372" t="s">
        <v>108</v>
      </c>
      <c r="C372" t="s">
        <v>58</v>
      </c>
      <c r="D372" t="s">
        <v>23</v>
      </c>
      <c r="E372" t="s">
        <v>70</v>
      </c>
      <c r="F372" t="s">
        <v>71</v>
      </c>
      <c r="G372" s="5">
        <v>9.8000000000000007</v>
      </c>
      <c r="H372" s="7">
        <v>0.189</v>
      </c>
      <c r="I372" s="5" t="s">
        <v>38</v>
      </c>
      <c r="J372" t="s">
        <v>27</v>
      </c>
      <c r="K372" t="s">
        <v>28</v>
      </c>
      <c r="L372" t="s">
        <v>99</v>
      </c>
      <c r="M372" t="s">
        <v>100</v>
      </c>
      <c r="N372" s="8">
        <v>46271</v>
      </c>
      <c r="O372" s="8">
        <v>46276</v>
      </c>
      <c r="P372" t="s">
        <v>42</v>
      </c>
      <c r="Q372" s="8"/>
      <c r="R372" t="s">
        <v>26</v>
      </c>
      <c r="S37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7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73" spans="1:20">
      <c r="A373" t="s">
        <v>748</v>
      </c>
      <c r="B373" t="s">
        <v>624</v>
      </c>
      <c r="C373" t="s">
        <v>79</v>
      </c>
      <c r="D373" t="s">
        <v>35</v>
      </c>
      <c r="E373" t="s">
        <v>142</v>
      </c>
      <c r="F373" t="s">
        <v>71</v>
      </c>
      <c r="G373" s="5">
        <v>8.8000000000000007</v>
      </c>
      <c r="H373" s="7">
        <v>0.05</v>
      </c>
      <c r="I373" s="5" t="s">
        <v>38</v>
      </c>
      <c r="J373" t="s">
        <v>27</v>
      </c>
      <c r="K373" t="s">
        <v>60</v>
      </c>
      <c r="L373" t="s">
        <v>54</v>
      </c>
      <c r="M373" t="s">
        <v>55</v>
      </c>
      <c r="N373" s="8">
        <v>46257</v>
      </c>
      <c r="O373" s="8">
        <v>46271</v>
      </c>
      <c r="P373" t="s">
        <v>31</v>
      </c>
      <c r="Q373" s="8">
        <v>46284</v>
      </c>
      <c r="R373" t="s">
        <v>26</v>
      </c>
      <c r="S37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7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4" spans="1:20">
      <c r="A374" t="s">
        <v>749</v>
      </c>
      <c r="B374" t="s">
        <v>750</v>
      </c>
      <c r="C374" t="s">
        <v>34</v>
      </c>
      <c r="D374" t="s">
        <v>23</v>
      </c>
      <c r="E374" t="s">
        <v>116</v>
      </c>
      <c r="F374" t="s">
        <v>37</v>
      </c>
      <c r="G374" s="5">
        <v>8.1</v>
      </c>
      <c r="H374" s="7">
        <v>0.30199999999999999</v>
      </c>
      <c r="I374" s="5" t="s">
        <v>38</v>
      </c>
      <c r="J374" t="s">
        <v>39</v>
      </c>
      <c r="K374" t="s">
        <v>28</v>
      </c>
      <c r="L374" t="s">
        <v>40</v>
      </c>
      <c r="M374" t="s">
        <v>72</v>
      </c>
      <c r="N374" s="8">
        <v>46262</v>
      </c>
      <c r="O374" s="8">
        <v>46276</v>
      </c>
      <c r="P374" t="s">
        <v>101</v>
      </c>
      <c r="Q374" s="8">
        <v>46296</v>
      </c>
      <c r="R374" t="s">
        <v>38</v>
      </c>
      <c r="S37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7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5" spans="1:20">
      <c r="A375" t="s">
        <v>751</v>
      </c>
      <c r="B375" t="s">
        <v>335</v>
      </c>
      <c r="C375" t="s">
        <v>59</v>
      </c>
      <c r="D375" t="s">
        <v>84</v>
      </c>
      <c r="E375" t="s">
        <v>64</v>
      </c>
      <c r="F375" t="s">
        <v>37</v>
      </c>
      <c r="G375" s="5">
        <v>9.8000000000000007</v>
      </c>
      <c r="H375" s="7">
        <v>4.8000000000000001E-2</v>
      </c>
      <c r="I375" s="5" t="s">
        <v>38</v>
      </c>
      <c r="J375" t="s">
        <v>39</v>
      </c>
      <c r="K375" t="s">
        <v>28</v>
      </c>
      <c r="L375" t="s">
        <v>99</v>
      </c>
      <c r="M375" t="s">
        <v>100</v>
      </c>
      <c r="N375" s="8">
        <v>46271</v>
      </c>
      <c r="O375" s="8">
        <v>46278</v>
      </c>
      <c r="P375" t="s">
        <v>31</v>
      </c>
      <c r="Q375" s="8">
        <v>46297</v>
      </c>
      <c r="R375" t="s">
        <v>38</v>
      </c>
      <c r="S37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7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6" spans="1:20">
      <c r="A376" t="s">
        <v>752</v>
      </c>
      <c r="B376" t="s">
        <v>753</v>
      </c>
      <c r="C376" t="s">
        <v>34</v>
      </c>
      <c r="D376" t="s">
        <v>90</v>
      </c>
      <c r="E376" t="s">
        <v>146</v>
      </c>
      <c r="F376" t="s">
        <v>147</v>
      </c>
      <c r="G376" s="5">
        <v>7.5</v>
      </c>
      <c r="H376" s="7">
        <v>0.48299999999999998</v>
      </c>
      <c r="I376" s="5" t="s">
        <v>38</v>
      </c>
      <c r="J376" t="s">
        <v>110</v>
      </c>
      <c r="K376" t="s">
        <v>28</v>
      </c>
      <c r="L376" t="s">
        <v>54</v>
      </c>
      <c r="M376" t="s">
        <v>55</v>
      </c>
      <c r="N376" s="8">
        <v>46235</v>
      </c>
      <c r="O376" s="8">
        <v>46249</v>
      </c>
      <c r="P376" t="s">
        <v>101</v>
      </c>
      <c r="Q376" s="8">
        <v>46249</v>
      </c>
      <c r="R376" t="s">
        <v>38</v>
      </c>
      <c r="S37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7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77" spans="1:20">
      <c r="A377" t="s">
        <v>754</v>
      </c>
      <c r="B377" t="s">
        <v>746</v>
      </c>
      <c r="C377" t="s">
        <v>59</v>
      </c>
      <c r="D377" t="s">
        <v>109</v>
      </c>
      <c r="E377" t="s">
        <v>119</v>
      </c>
      <c r="F377" t="s">
        <v>37</v>
      </c>
      <c r="G377" s="5">
        <v>8.1999999999999993</v>
      </c>
      <c r="H377" s="7">
        <v>0.189</v>
      </c>
      <c r="I377" s="5" t="s">
        <v>38</v>
      </c>
      <c r="J377" t="s">
        <v>27</v>
      </c>
      <c r="K377" t="s">
        <v>28</v>
      </c>
      <c r="L377" t="s">
        <v>54</v>
      </c>
      <c r="M377" t="s">
        <v>55</v>
      </c>
      <c r="N377" s="8">
        <v>46252</v>
      </c>
      <c r="O377" s="8">
        <v>46263</v>
      </c>
      <c r="P377" t="s">
        <v>42</v>
      </c>
      <c r="Q377" s="8"/>
      <c r="R377" t="s">
        <v>26</v>
      </c>
      <c r="S37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7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78" spans="1:20">
      <c r="A378" t="s">
        <v>755</v>
      </c>
      <c r="B378" t="s">
        <v>756</v>
      </c>
      <c r="C378" t="s">
        <v>79</v>
      </c>
      <c r="D378" t="s">
        <v>122</v>
      </c>
      <c r="E378" t="s">
        <v>119</v>
      </c>
      <c r="F378" t="s">
        <v>37</v>
      </c>
      <c r="G378" s="5">
        <v>7.8</v>
      </c>
      <c r="H378" s="7">
        <v>0.187</v>
      </c>
      <c r="I378" s="5" t="s">
        <v>38</v>
      </c>
      <c r="J378" t="s">
        <v>39</v>
      </c>
      <c r="K378" t="s">
        <v>87</v>
      </c>
      <c r="L378" t="s">
        <v>40</v>
      </c>
      <c r="M378" t="s">
        <v>41</v>
      </c>
      <c r="N378" s="8">
        <v>46259</v>
      </c>
      <c r="O378" s="8">
        <v>46273</v>
      </c>
      <c r="P378" t="s">
        <v>42</v>
      </c>
      <c r="Q378" s="8"/>
      <c r="R378" t="s">
        <v>38</v>
      </c>
      <c r="S37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37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79" spans="1:20">
      <c r="A379" t="s">
        <v>757</v>
      </c>
      <c r="B379" t="s">
        <v>211</v>
      </c>
      <c r="C379" t="s">
        <v>59</v>
      </c>
      <c r="D379" t="s">
        <v>23</v>
      </c>
      <c r="E379" t="s">
        <v>146</v>
      </c>
      <c r="F379" t="s">
        <v>147</v>
      </c>
      <c r="G379" s="5">
        <v>7.5</v>
      </c>
      <c r="H379" s="7">
        <v>0.38200000000000001</v>
      </c>
      <c r="I379" s="5" t="s">
        <v>38</v>
      </c>
      <c r="J379" t="s">
        <v>110</v>
      </c>
      <c r="K379" t="s">
        <v>28</v>
      </c>
      <c r="L379" t="s">
        <v>40</v>
      </c>
      <c r="M379" t="s">
        <v>72</v>
      </c>
      <c r="N379" s="8">
        <v>46243</v>
      </c>
      <c r="O379" s="8">
        <v>46257</v>
      </c>
      <c r="P379" t="s">
        <v>31</v>
      </c>
      <c r="Q379" s="8">
        <v>46276</v>
      </c>
      <c r="R379" t="s">
        <v>38</v>
      </c>
      <c r="S37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7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80" spans="1:20">
      <c r="A380" t="s">
        <v>758</v>
      </c>
      <c r="B380" t="s">
        <v>759</v>
      </c>
      <c r="C380" t="s">
        <v>45</v>
      </c>
      <c r="D380" t="s">
        <v>113</v>
      </c>
      <c r="E380" t="s">
        <v>146</v>
      </c>
      <c r="F380" t="s">
        <v>147</v>
      </c>
      <c r="G380" s="5">
        <v>7.5</v>
      </c>
      <c r="H380" s="7">
        <v>0.46600000000000003</v>
      </c>
      <c r="I380" s="5" t="s">
        <v>38</v>
      </c>
      <c r="J380" t="s">
        <v>39</v>
      </c>
      <c r="K380" t="s">
        <v>28</v>
      </c>
      <c r="L380" t="s">
        <v>40</v>
      </c>
      <c r="M380" t="s">
        <v>72</v>
      </c>
      <c r="N380" s="8">
        <v>46272</v>
      </c>
      <c r="O380" s="8">
        <v>46286</v>
      </c>
      <c r="P380" t="s">
        <v>91</v>
      </c>
      <c r="Q380" s="8"/>
      <c r="R380" t="s">
        <v>38</v>
      </c>
      <c r="S38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8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81" spans="1:20">
      <c r="A381" t="s">
        <v>760</v>
      </c>
      <c r="B381" t="s">
        <v>182</v>
      </c>
      <c r="C381" t="s">
        <v>45</v>
      </c>
      <c r="D381" t="s">
        <v>84</v>
      </c>
      <c r="E381" t="s">
        <v>36</v>
      </c>
      <c r="F381" t="s">
        <v>37</v>
      </c>
      <c r="G381" s="5">
        <v>9.8000000000000007</v>
      </c>
      <c r="H381" s="7">
        <v>0.186</v>
      </c>
      <c r="I381" s="5" t="s">
        <v>38</v>
      </c>
      <c r="J381" t="s">
        <v>39</v>
      </c>
      <c r="K381" t="s">
        <v>87</v>
      </c>
      <c r="L381" t="s">
        <v>99</v>
      </c>
      <c r="M381" t="s">
        <v>100</v>
      </c>
      <c r="N381" s="8">
        <v>46247</v>
      </c>
      <c r="O381" s="8">
        <v>46254</v>
      </c>
      <c r="P381" t="s">
        <v>42</v>
      </c>
      <c r="Q381" s="8"/>
      <c r="R381" t="s">
        <v>38</v>
      </c>
      <c r="S38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38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82" spans="1:20">
      <c r="A382" t="s">
        <v>761</v>
      </c>
      <c r="B382" t="s">
        <v>487</v>
      </c>
      <c r="C382" t="s">
        <v>22</v>
      </c>
      <c r="D382" t="s">
        <v>63</v>
      </c>
      <c r="E382" t="s">
        <v>142</v>
      </c>
      <c r="F382" t="s">
        <v>71</v>
      </c>
      <c r="G382" s="5">
        <v>8.8000000000000007</v>
      </c>
      <c r="H382" s="7">
        <v>5.5E-2</v>
      </c>
      <c r="I382" s="5" t="s">
        <v>38</v>
      </c>
      <c r="J382" t="s">
        <v>27</v>
      </c>
      <c r="K382" t="s">
        <v>60</v>
      </c>
      <c r="L382" t="s">
        <v>40</v>
      </c>
      <c r="M382" t="s">
        <v>72</v>
      </c>
      <c r="N382" s="8">
        <v>46242</v>
      </c>
      <c r="O382" s="8">
        <v>46256</v>
      </c>
      <c r="P382" t="s">
        <v>50</v>
      </c>
      <c r="Q382" s="8"/>
      <c r="R382" t="s">
        <v>26</v>
      </c>
      <c r="S38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8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83" spans="1:20">
      <c r="A383" t="s">
        <v>762</v>
      </c>
      <c r="B383" t="s">
        <v>763</v>
      </c>
      <c r="C383" t="s">
        <v>45</v>
      </c>
      <c r="D383" t="s">
        <v>90</v>
      </c>
      <c r="E383" t="s">
        <v>146</v>
      </c>
      <c r="F383" t="s">
        <v>147</v>
      </c>
      <c r="G383" s="5">
        <v>7.5</v>
      </c>
      <c r="H383" s="7">
        <v>0.185</v>
      </c>
      <c r="I383" s="5" t="s">
        <v>38</v>
      </c>
      <c r="J383" t="s">
        <v>39</v>
      </c>
      <c r="K383" t="s">
        <v>28</v>
      </c>
      <c r="L383" t="s">
        <v>29</v>
      </c>
      <c r="M383" t="s">
        <v>65</v>
      </c>
      <c r="N383" s="8">
        <v>46238</v>
      </c>
      <c r="O383" s="8">
        <v>46252</v>
      </c>
      <c r="P383" t="s">
        <v>42</v>
      </c>
      <c r="Q383" s="8"/>
      <c r="R383" t="s">
        <v>38</v>
      </c>
      <c r="S38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38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84" spans="1:20">
      <c r="A384" t="s">
        <v>764</v>
      </c>
      <c r="B384" t="s">
        <v>215</v>
      </c>
      <c r="C384" t="s">
        <v>79</v>
      </c>
      <c r="D384" t="s">
        <v>35</v>
      </c>
      <c r="E384" t="s">
        <v>216</v>
      </c>
      <c r="F384" t="s">
        <v>217</v>
      </c>
      <c r="G384" s="5">
        <v>9.5</v>
      </c>
      <c r="H384" s="7">
        <v>0.18099999999999999</v>
      </c>
      <c r="I384" s="5" t="s">
        <v>38</v>
      </c>
      <c r="J384" t="s">
        <v>27</v>
      </c>
      <c r="K384" t="s">
        <v>60</v>
      </c>
      <c r="L384" t="s">
        <v>75</v>
      </c>
      <c r="M384" t="s">
        <v>76</v>
      </c>
      <c r="N384" s="8">
        <v>46237</v>
      </c>
      <c r="O384" s="8">
        <v>46244</v>
      </c>
      <c r="P384" t="s">
        <v>42</v>
      </c>
      <c r="Q384" s="8"/>
      <c r="R384" t="s">
        <v>26</v>
      </c>
      <c r="S38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38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85" spans="1:20">
      <c r="A385" t="s">
        <v>765</v>
      </c>
      <c r="B385" t="s">
        <v>766</v>
      </c>
      <c r="C385" t="s">
        <v>45</v>
      </c>
      <c r="D385" t="s">
        <v>63</v>
      </c>
      <c r="E385" t="s">
        <v>116</v>
      </c>
      <c r="F385" t="s">
        <v>37</v>
      </c>
      <c r="G385" s="5">
        <v>8.1</v>
      </c>
      <c r="H385" s="7">
        <v>0.18099999999999999</v>
      </c>
      <c r="I385" s="5" t="s">
        <v>26</v>
      </c>
      <c r="J385" t="s">
        <v>110</v>
      </c>
      <c r="K385" t="s">
        <v>87</v>
      </c>
      <c r="L385" t="s">
        <v>29</v>
      </c>
      <c r="M385" t="s">
        <v>30</v>
      </c>
      <c r="N385" s="8">
        <v>46257</v>
      </c>
      <c r="O385" s="8">
        <v>46271</v>
      </c>
      <c r="P385" t="s">
        <v>42</v>
      </c>
      <c r="Q385" s="8"/>
      <c r="R385" t="s">
        <v>38</v>
      </c>
      <c r="S38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8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86" spans="1:20">
      <c r="A386" t="s">
        <v>767</v>
      </c>
      <c r="B386" t="s">
        <v>768</v>
      </c>
      <c r="C386" t="s">
        <v>79</v>
      </c>
      <c r="D386" t="s">
        <v>59</v>
      </c>
      <c r="E386" t="s">
        <v>125</v>
      </c>
      <c r="F386" t="s">
        <v>126</v>
      </c>
      <c r="G386" s="5">
        <v>8.6</v>
      </c>
      <c r="H386" s="7">
        <v>0.432</v>
      </c>
      <c r="I386" s="5" t="s">
        <v>38</v>
      </c>
      <c r="J386" t="s">
        <v>39</v>
      </c>
      <c r="K386" t="s">
        <v>28</v>
      </c>
      <c r="L386" t="s">
        <v>99</v>
      </c>
      <c r="M386" t="s">
        <v>100</v>
      </c>
      <c r="N386" s="8">
        <v>46257</v>
      </c>
      <c r="O386" s="8">
        <v>46269</v>
      </c>
      <c r="P386" t="s">
        <v>31</v>
      </c>
      <c r="Q386" s="8">
        <v>46275</v>
      </c>
      <c r="R386" t="s">
        <v>38</v>
      </c>
      <c r="S38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8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87" spans="1:20">
      <c r="A387" t="s">
        <v>769</v>
      </c>
      <c r="B387" t="s">
        <v>167</v>
      </c>
      <c r="C387" t="s">
        <v>58</v>
      </c>
      <c r="D387" t="s">
        <v>53</v>
      </c>
      <c r="E387" t="s">
        <v>116</v>
      </c>
      <c r="F387" t="s">
        <v>37</v>
      </c>
      <c r="G387" s="5">
        <v>8.1</v>
      </c>
      <c r="H387" s="7">
        <v>0.31900000000000001</v>
      </c>
      <c r="I387" s="5" t="s">
        <v>38</v>
      </c>
      <c r="J387" t="s">
        <v>110</v>
      </c>
      <c r="K387" t="s">
        <v>28</v>
      </c>
      <c r="L387" t="s">
        <v>75</v>
      </c>
      <c r="M387" t="s">
        <v>76</v>
      </c>
      <c r="N387" s="8">
        <v>46258</v>
      </c>
      <c r="O387" s="8">
        <v>46272</v>
      </c>
      <c r="P387" t="s">
        <v>31</v>
      </c>
      <c r="Q387" s="8">
        <v>46282</v>
      </c>
      <c r="R387" t="s">
        <v>38</v>
      </c>
      <c r="S38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8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88" spans="1:20">
      <c r="A388" t="s">
        <v>770</v>
      </c>
      <c r="B388" t="s">
        <v>771</v>
      </c>
      <c r="C388" t="s">
        <v>22</v>
      </c>
      <c r="D388" t="s">
        <v>109</v>
      </c>
      <c r="E388" t="s">
        <v>70</v>
      </c>
      <c r="F388" t="s">
        <v>71</v>
      </c>
      <c r="G388" s="5">
        <v>9.8000000000000007</v>
      </c>
      <c r="H388" s="7">
        <v>0.18</v>
      </c>
      <c r="I388" s="5" t="s">
        <v>26</v>
      </c>
      <c r="J388" t="s">
        <v>110</v>
      </c>
      <c r="K388" t="s">
        <v>60</v>
      </c>
      <c r="L388" t="s">
        <v>40</v>
      </c>
      <c r="M388" t="s">
        <v>41</v>
      </c>
      <c r="N388" s="8">
        <v>46253</v>
      </c>
      <c r="O388" s="8">
        <v>46256</v>
      </c>
      <c r="P388" t="s">
        <v>42</v>
      </c>
      <c r="Q388" s="8"/>
      <c r="R388" t="s">
        <v>38</v>
      </c>
      <c r="S38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38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389" spans="1:20">
      <c r="A389" t="s">
        <v>772</v>
      </c>
      <c r="B389" t="s">
        <v>564</v>
      </c>
      <c r="C389" t="s">
        <v>22</v>
      </c>
      <c r="D389" t="s">
        <v>122</v>
      </c>
      <c r="E389" t="s">
        <v>119</v>
      </c>
      <c r="F389" t="s">
        <v>37</v>
      </c>
      <c r="G389" s="5">
        <v>7.8</v>
      </c>
      <c r="H389" s="7">
        <v>0.40799999999999997</v>
      </c>
      <c r="I389" s="5" t="s">
        <v>38</v>
      </c>
      <c r="J389" t="s">
        <v>39</v>
      </c>
      <c r="K389" t="s">
        <v>28</v>
      </c>
      <c r="L389" t="s">
        <v>40</v>
      </c>
      <c r="M389" t="s">
        <v>72</v>
      </c>
      <c r="N389" s="8">
        <v>46240</v>
      </c>
      <c r="O389" s="8">
        <v>46254</v>
      </c>
      <c r="P389" t="s">
        <v>50</v>
      </c>
      <c r="Q389" s="8"/>
      <c r="R389" t="s">
        <v>38</v>
      </c>
      <c r="S38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8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90" spans="1:20">
      <c r="A390" t="s">
        <v>773</v>
      </c>
      <c r="B390" t="s">
        <v>774</v>
      </c>
      <c r="C390" t="s">
        <v>59</v>
      </c>
      <c r="D390" t="s">
        <v>104</v>
      </c>
      <c r="E390" t="s">
        <v>70</v>
      </c>
      <c r="F390" t="s">
        <v>71</v>
      </c>
      <c r="G390" s="5">
        <v>9.8000000000000007</v>
      </c>
      <c r="H390" s="7">
        <v>0.17799999999999999</v>
      </c>
      <c r="I390" s="5" t="s">
        <v>26</v>
      </c>
      <c r="J390" t="s">
        <v>39</v>
      </c>
      <c r="K390" t="s">
        <v>28</v>
      </c>
      <c r="L390" t="s">
        <v>40</v>
      </c>
      <c r="M390" t="s">
        <v>41</v>
      </c>
      <c r="N390" s="8">
        <v>46252</v>
      </c>
      <c r="O390" s="8">
        <v>46259</v>
      </c>
      <c r="P390" t="s">
        <v>42</v>
      </c>
      <c r="Q390" s="8"/>
      <c r="R390" t="s">
        <v>38</v>
      </c>
      <c r="S39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39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91" spans="1:20">
      <c r="A391" t="s">
        <v>775</v>
      </c>
      <c r="B391" t="s">
        <v>776</v>
      </c>
      <c r="C391" t="s">
        <v>45</v>
      </c>
      <c r="D391" t="s">
        <v>109</v>
      </c>
      <c r="E391" t="s">
        <v>47</v>
      </c>
      <c r="F391" t="s">
        <v>37</v>
      </c>
      <c r="G391" s="5">
        <v>10</v>
      </c>
      <c r="H391" s="7">
        <v>0.17499999999999999</v>
      </c>
      <c r="I391" s="5" t="s">
        <v>26</v>
      </c>
      <c r="J391" t="s">
        <v>39</v>
      </c>
      <c r="K391" t="s">
        <v>60</v>
      </c>
      <c r="L391" t="s">
        <v>75</v>
      </c>
      <c r="M391" t="s">
        <v>129</v>
      </c>
      <c r="N391" s="8">
        <v>46241</v>
      </c>
      <c r="O391" s="8">
        <v>46245</v>
      </c>
      <c r="P391" t="s">
        <v>42</v>
      </c>
      <c r="Q391" s="8"/>
      <c r="R391" t="s">
        <v>38</v>
      </c>
      <c r="S39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39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392" spans="1:20">
      <c r="A392" t="s">
        <v>777</v>
      </c>
      <c r="B392" t="s">
        <v>626</v>
      </c>
      <c r="C392" t="s">
        <v>22</v>
      </c>
      <c r="D392" t="s">
        <v>53</v>
      </c>
      <c r="E392" t="s">
        <v>119</v>
      </c>
      <c r="F392" t="s">
        <v>37</v>
      </c>
      <c r="G392" s="5">
        <v>7.8</v>
      </c>
      <c r="H392" s="7">
        <v>0.36</v>
      </c>
      <c r="I392" s="5" t="s">
        <v>38</v>
      </c>
      <c r="J392" t="s">
        <v>110</v>
      </c>
      <c r="K392" t="s">
        <v>28</v>
      </c>
      <c r="L392" t="s">
        <v>48</v>
      </c>
      <c r="M392" t="s">
        <v>132</v>
      </c>
      <c r="N392" s="8">
        <v>46246</v>
      </c>
      <c r="O392" s="8">
        <v>46260</v>
      </c>
      <c r="P392" t="s">
        <v>50</v>
      </c>
      <c r="Q392" s="8"/>
      <c r="R392" t="s">
        <v>38</v>
      </c>
      <c r="S39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9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93" spans="1:20">
      <c r="A393" t="s">
        <v>778</v>
      </c>
      <c r="B393" t="s">
        <v>155</v>
      </c>
      <c r="C393" t="s">
        <v>58</v>
      </c>
      <c r="D393" t="s">
        <v>109</v>
      </c>
      <c r="E393" t="s">
        <v>125</v>
      </c>
      <c r="F393" t="s">
        <v>126</v>
      </c>
      <c r="G393" s="5">
        <v>8.6</v>
      </c>
      <c r="H393" s="7">
        <v>0.17499999999999999</v>
      </c>
      <c r="I393" s="5" t="s">
        <v>38</v>
      </c>
      <c r="J393" t="s">
        <v>39</v>
      </c>
      <c r="K393" t="s">
        <v>87</v>
      </c>
      <c r="L393" t="s">
        <v>99</v>
      </c>
      <c r="M393" t="s">
        <v>100</v>
      </c>
      <c r="N393" s="8">
        <v>46252</v>
      </c>
      <c r="O393" s="8">
        <v>46264</v>
      </c>
      <c r="P393" t="s">
        <v>42</v>
      </c>
      <c r="Q393" s="8"/>
      <c r="R393" t="s">
        <v>38</v>
      </c>
      <c r="S39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39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394" spans="1:20">
      <c r="A394" t="s">
        <v>779</v>
      </c>
      <c r="B394" t="s">
        <v>780</v>
      </c>
      <c r="C394" t="s">
        <v>58</v>
      </c>
      <c r="D394" t="s">
        <v>104</v>
      </c>
      <c r="E394" t="s">
        <v>216</v>
      </c>
      <c r="F394" t="s">
        <v>217</v>
      </c>
      <c r="G394" s="5">
        <v>9.1</v>
      </c>
      <c r="H394" s="7">
        <v>0.125</v>
      </c>
      <c r="I394" s="5" t="s">
        <v>38</v>
      </c>
      <c r="J394" t="s">
        <v>39</v>
      </c>
      <c r="K394" t="s">
        <v>28</v>
      </c>
      <c r="L394" t="s">
        <v>48</v>
      </c>
      <c r="M394" t="s">
        <v>49</v>
      </c>
      <c r="N394" s="8">
        <v>46274</v>
      </c>
      <c r="O394" s="8">
        <v>46281</v>
      </c>
      <c r="P394" t="s">
        <v>50</v>
      </c>
      <c r="Q394" s="8"/>
      <c r="R394" t="s">
        <v>38</v>
      </c>
      <c r="S39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9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95" spans="1:20">
      <c r="A395" t="s">
        <v>781</v>
      </c>
      <c r="B395" t="s">
        <v>782</v>
      </c>
      <c r="C395" t="s">
        <v>59</v>
      </c>
      <c r="D395" t="s">
        <v>104</v>
      </c>
      <c r="E395" t="s">
        <v>125</v>
      </c>
      <c r="F395" t="s">
        <v>126</v>
      </c>
      <c r="G395" s="5">
        <v>8.8000000000000007</v>
      </c>
      <c r="H395" s="7">
        <v>0.108</v>
      </c>
      <c r="I395" s="5" t="s">
        <v>38</v>
      </c>
      <c r="J395" t="s">
        <v>27</v>
      </c>
      <c r="K395" t="s">
        <v>60</v>
      </c>
      <c r="L395" t="s">
        <v>40</v>
      </c>
      <c r="M395" t="s">
        <v>41</v>
      </c>
      <c r="N395" s="8">
        <v>46270</v>
      </c>
      <c r="O395" s="8">
        <v>46284</v>
      </c>
      <c r="P395" t="s">
        <v>101</v>
      </c>
      <c r="Q395" s="8">
        <v>46305</v>
      </c>
      <c r="R395" t="s">
        <v>26</v>
      </c>
      <c r="S39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9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96" spans="1:20">
      <c r="A396" t="s">
        <v>783</v>
      </c>
      <c r="B396" t="s">
        <v>784</v>
      </c>
      <c r="C396" t="s">
        <v>79</v>
      </c>
      <c r="D396" t="s">
        <v>53</v>
      </c>
      <c r="E396" t="s">
        <v>146</v>
      </c>
      <c r="F396" t="s">
        <v>147</v>
      </c>
      <c r="G396" s="5">
        <v>7.5</v>
      </c>
      <c r="H396" s="7">
        <v>0.20499999999999999</v>
      </c>
      <c r="I396" s="5" t="s">
        <v>38</v>
      </c>
      <c r="J396" t="s">
        <v>39</v>
      </c>
      <c r="K396" t="s">
        <v>28</v>
      </c>
      <c r="L396" t="s">
        <v>40</v>
      </c>
      <c r="M396" t="s">
        <v>41</v>
      </c>
      <c r="N396" s="8">
        <v>46238</v>
      </c>
      <c r="O396" s="8">
        <v>46252</v>
      </c>
      <c r="P396" t="s">
        <v>91</v>
      </c>
      <c r="Q396" s="8"/>
      <c r="R396" t="s">
        <v>38</v>
      </c>
      <c r="S39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9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97" spans="1:20">
      <c r="A397" t="s">
        <v>785</v>
      </c>
      <c r="B397" t="s">
        <v>786</v>
      </c>
      <c r="C397" t="s">
        <v>58</v>
      </c>
      <c r="D397" t="s">
        <v>23</v>
      </c>
      <c r="E397" t="s">
        <v>24</v>
      </c>
      <c r="F397" t="s">
        <v>25</v>
      </c>
      <c r="G397" s="5">
        <v>10</v>
      </c>
      <c r="H397" s="7">
        <v>0.17399999999999999</v>
      </c>
      <c r="I397" s="5" t="s">
        <v>26</v>
      </c>
      <c r="J397" t="s">
        <v>27</v>
      </c>
      <c r="K397" t="s">
        <v>28</v>
      </c>
      <c r="L397" t="s">
        <v>48</v>
      </c>
      <c r="M397" t="s">
        <v>132</v>
      </c>
      <c r="N397" s="8">
        <v>46253</v>
      </c>
      <c r="O397" s="8">
        <v>46259</v>
      </c>
      <c r="P397" t="s">
        <v>42</v>
      </c>
      <c r="Q397" s="8"/>
      <c r="R397" t="s">
        <v>26</v>
      </c>
      <c r="S39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39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398" spans="1:20">
      <c r="A398" t="s">
        <v>787</v>
      </c>
      <c r="B398" t="s">
        <v>788</v>
      </c>
      <c r="C398" t="s">
        <v>59</v>
      </c>
      <c r="D398" t="s">
        <v>35</v>
      </c>
      <c r="E398" t="s">
        <v>216</v>
      </c>
      <c r="F398" t="s">
        <v>217</v>
      </c>
      <c r="G398" s="5">
        <v>9.1</v>
      </c>
      <c r="H398" s="7">
        <v>0.35499999999999998</v>
      </c>
      <c r="I398" s="5" t="s">
        <v>38</v>
      </c>
      <c r="J398" t="s">
        <v>39</v>
      </c>
      <c r="K398" t="s">
        <v>60</v>
      </c>
      <c r="L398" t="s">
        <v>99</v>
      </c>
      <c r="M398" t="s">
        <v>100</v>
      </c>
      <c r="N398" s="8">
        <v>46245</v>
      </c>
      <c r="O398" s="8">
        <v>46250</v>
      </c>
      <c r="P398" t="s">
        <v>101</v>
      </c>
      <c r="Q398" s="8">
        <v>46269</v>
      </c>
      <c r="R398" t="s">
        <v>38</v>
      </c>
      <c r="S39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9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399" spans="1:20">
      <c r="A399" t="s">
        <v>789</v>
      </c>
      <c r="B399" t="s">
        <v>782</v>
      </c>
      <c r="C399" t="s">
        <v>59</v>
      </c>
      <c r="D399" t="s">
        <v>113</v>
      </c>
      <c r="E399" t="s">
        <v>125</v>
      </c>
      <c r="F399" t="s">
        <v>126</v>
      </c>
      <c r="G399" s="5">
        <v>8.6</v>
      </c>
      <c r="H399" s="7">
        <v>0.39600000000000002</v>
      </c>
      <c r="I399" s="5" t="s">
        <v>38</v>
      </c>
      <c r="J399" t="s">
        <v>39</v>
      </c>
      <c r="K399" t="s">
        <v>28</v>
      </c>
      <c r="L399" t="s">
        <v>99</v>
      </c>
      <c r="M399" t="s">
        <v>100</v>
      </c>
      <c r="N399" s="8">
        <v>46270</v>
      </c>
      <c r="O399" s="8">
        <v>46284</v>
      </c>
      <c r="P399" t="s">
        <v>50</v>
      </c>
      <c r="Q399" s="8"/>
      <c r="R399" t="s">
        <v>38</v>
      </c>
      <c r="S39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39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00" spans="1:20">
      <c r="A400" t="s">
        <v>790</v>
      </c>
      <c r="B400" t="s">
        <v>273</v>
      </c>
      <c r="C400" t="s">
        <v>45</v>
      </c>
      <c r="D400" t="s">
        <v>90</v>
      </c>
      <c r="E400" t="s">
        <v>119</v>
      </c>
      <c r="F400" t="s">
        <v>37</v>
      </c>
      <c r="G400" s="5">
        <v>8.1999999999999993</v>
      </c>
      <c r="H400" s="7">
        <v>0.17399999999999999</v>
      </c>
      <c r="I400" s="5" t="s">
        <v>38</v>
      </c>
      <c r="J400" t="s">
        <v>27</v>
      </c>
      <c r="K400" t="s">
        <v>28</v>
      </c>
      <c r="L400" t="s">
        <v>80</v>
      </c>
      <c r="M400" t="s">
        <v>96</v>
      </c>
      <c r="N400" s="8">
        <v>46252</v>
      </c>
      <c r="O400" s="8">
        <v>46266</v>
      </c>
      <c r="P400" t="s">
        <v>42</v>
      </c>
      <c r="Q400" s="8"/>
      <c r="R400" t="s">
        <v>26</v>
      </c>
      <c r="S40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0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01" spans="1:20">
      <c r="A401" t="s">
        <v>791</v>
      </c>
      <c r="B401" t="s">
        <v>596</v>
      </c>
      <c r="C401" t="s">
        <v>79</v>
      </c>
      <c r="D401" t="s">
        <v>84</v>
      </c>
      <c r="E401" t="s">
        <v>146</v>
      </c>
      <c r="F401" t="s">
        <v>147</v>
      </c>
      <c r="G401" s="5">
        <v>7.5</v>
      </c>
      <c r="H401" s="7">
        <v>0.48099999999999998</v>
      </c>
      <c r="I401" s="5" t="s">
        <v>38</v>
      </c>
      <c r="J401" t="s">
        <v>39</v>
      </c>
      <c r="K401" t="s">
        <v>28</v>
      </c>
      <c r="L401" t="s">
        <v>29</v>
      </c>
      <c r="M401" t="s">
        <v>65</v>
      </c>
      <c r="N401" s="8">
        <v>46254</v>
      </c>
      <c r="O401" s="8">
        <v>46268</v>
      </c>
      <c r="P401" t="s">
        <v>50</v>
      </c>
      <c r="Q401" s="8"/>
      <c r="R401" t="s">
        <v>38</v>
      </c>
      <c r="S40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0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02" spans="1:20">
      <c r="A402" t="s">
        <v>792</v>
      </c>
      <c r="B402" t="s">
        <v>793</v>
      </c>
      <c r="C402" t="s">
        <v>58</v>
      </c>
      <c r="D402" t="s">
        <v>23</v>
      </c>
      <c r="E402" t="s">
        <v>146</v>
      </c>
      <c r="F402" t="s">
        <v>147</v>
      </c>
      <c r="G402" s="5">
        <v>7.5</v>
      </c>
      <c r="H402" s="7">
        <v>0.23100000000000001</v>
      </c>
      <c r="I402" s="5" t="s">
        <v>38</v>
      </c>
      <c r="J402" t="s">
        <v>39</v>
      </c>
      <c r="K402" t="s">
        <v>28</v>
      </c>
      <c r="L402" t="s">
        <v>54</v>
      </c>
      <c r="M402" t="s">
        <v>55</v>
      </c>
      <c r="N402" s="8">
        <v>46265</v>
      </c>
      <c r="O402" s="8">
        <v>46276</v>
      </c>
      <c r="P402" t="s">
        <v>50</v>
      </c>
      <c r="Q402" s="8"/>
      <c r="R402" t="s">
        <v>38</v>
      </c>
      <c r="S40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0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03" spans="1:20">
      <c r="A403" t="s">
        <v>794</v>
      </c>
      <c r="B403" t="s">
        <v>108</v>
      </c>
      <c r="C403" t="s">
        <v>58</v>
      </c>
      <c r="D403" t="s">
        <v>84</v>
      </c>
      <c r="E403" t="s">
        <v>146</v>
      </c>
      <c r="F403" t="s">
        <v>147</v>
      </c>
      <c r="G403" s="5">
        <v>7.5</v>
      </c>
      <c r="H403" s="7">
        <v>0.17399999999999999</v>
      </c>
      <c r="I403" s="5" t="s">
        <v>38</v>
      </c>
      <c r="J403" t="s">
        <v>39</v>
      </c>
      <c r="K403" t="s">
        <v>28</v>
      </c>
      <c r="L403" t="s">
        <v>29</v>
      </c>
      <c r="M403" t="s">
        <v>30</v>
      </c>
      <c r="N403" s="8">
        <v>46249</v>
      </c>
      <c r="O403" s="8">
        <v>46261</v>
      </c>
      <c r="P403" t="s">
        <v>42</v>
      </c>
      <c r="Q403" s="8"/>
      <c r="R403" t="s">
        <v>38</v>
      </c>
      <c r="S40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0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04" spans="1:20">
      <c r="A404" t="s">
        <v>795</v>
      </c>
      <c r="B404" t="s">
        <v>688</v>
      </c>
      <c r="C404" t="s">
        <v>22</v>
      </c>
      <c r="D404" t="s">
        <v>46</v>
      </c>
      <c r="E404" t="s">
        <v>36</v>
      </c>
      <c r="F404" t="s">
        <v>37</v>
      </c>
      <c r="G404" s="5">
        <v>9.8000000000000007</v>
      </c>
      <c r="H404" s="7">
        <v>0.4</v>
      </c>
      <c r="I404" s="5" t="s">
        <v>38</v>
      </c>
      <c r="J404" t="s">
        <v>39</v>
      </c>
      <c r="K404" t="s">
        <v>87</v>
      </c>
      <c r="L404" t="s">
        <v>75</v>
      </c>
      <c r="M404" t="s">
        <v>76</v>
      </c>
      <c r="N404" s="8">
        <v>46266</v>
      </c>
      <c r="O404" s="8">
        <v>46270</v>
      </c>
      <c r="P404" t="s">
        <v>31</v>
      </c>
      <c r="Q404" s="8">
        <v>46270</v>
      </c>
      <c r="R404" t="s">
        <v>38</v>
      </c>
      <c r="S40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0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05" spans="1:20">
      <c r="A405" t="s">
        <v>796</v>
      </c>
      <c r="B405" t="s">
        <v>86</v>
      </c>
      <c r="C405" t="s">
        <v>34</v>
      </c>
      <c r="D405" t="s">
        <v>104</v>
      </c>
      <c r="E405" t="s">
        <v>70</v>
      </c>
      <c r="F405" t="s">
        <v>71</v>
      </c>
      <c r="G405" s="5">
        <v>9.8000000000000007</v>
      </c>
      <c r="H405" s="7">
        <v>0.17199999999999999</v>
      </c>
      <c r="I405" s="5" t="s">
        <v>38</v>
      </c>
      <c r="J405" t="s">
        <v>110</v>
      </c>
      <c r="K405" t="s">
        <v>28</v>
      </c>
      <c r="L405" t="s">
        <v>29</v>
      </c>
      <c r="M405" t="s">
        <v>65</v>
      </c>
      <c r="N405" s="8">
        <v>46243</v>
      </c>
      <c r="O405" s="8">
        <v>46250</v>
      </c>
      <c r="P405" t="s">
        <v>42</v>
      </c>
      <c r="Q405" s="8"/>
      <c r="R405" t="s">
        <v>38</v>
      </c>
      <c r="S40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0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06" spans="1:20">
      <c r="A406" t="s">
        <v>797</v>
      </c>
      <c r="B406" t="s">
        <v>798</v>
      </c>
      <c r="C406" t="s">
        <v>58</v>
      </c>
      <c r="D406" t="s">
        <v>23</v>
      </c>
      <c r="E406" t="s">
        <v>119</v>
      </c>
      <c r="F406" t="s">
        <v>37</v>
      </c>
      <c r="G406" s="5">
        <v>7.8</v>
      </c>
      <c r="H406" s="7">
        <v>0.17100000000000001</v>
      </c>
      <c r="I406" s="5" t="s">
        <v>38</v>
      </c>
      <c r="J406" t="s">
        <v>39</v>
      </c>
      <c r="K406" t="s">
        <v>60</v>
      </c>
      <c r="L406" t="s">
        <v>54</v>
      </c>
      <c r="M406" t="s">
        <v>55</v>
      </c>
      <c r="N406" s="8">
        <v>46266</v>
      </c>
      <c r="O406" s="8">
        <v>46280</v>
      </c>
      <c r="P406" t="s">
        <v>42</v>
      </c>
      <c r="Q406" s="8"/>
      <c r="R406" t="s">
        <v>38</v>
      </c>
      <c r="S40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40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07" spans="1:20">
      <c r="A407" t="s">
        <v>799</v>
      </c>
      <c r="B407" t="s">
        <v>800</v>
      </c>
      <c r="C407" t="s">
        <v>45</v>
      </c>
      <c r="D407" t="s">
        <v>104</v>
      </c>
      <c r="E407" t="s">
        <v>47</v>
      </c>
      <c r="F407" t="s">
        <v>37</v>
      </c>
      <c r="G407" s="5">
        <v>10</v>
      </c>
      <c r="H407" s="7">
        <v>0.17</v>
      </c>
      <c r="I407" s="5" t="s">
        <v>26</v>
      </c>
      <c r="J407" t="s">
        <v>39</v>
      </c>
      <c r="K407" t="s">
        <v>28</v>
      </c>
      <c r="L407" t="s">
        <v>80</v>
      </c>
      <c r="M407" t="s">
        <v>81</v>
      </c>
      <c r="N407" s="8">
        <v>46243</v>
      </c>
      <c r="O407" s="8">
        <v>46250</v>
      </c>
      <c r="P407" t="s">
        <v>42</v>
      </c>
      <c r="Q407" s="8"/>
      <c r="R407" t="s">
        <v>38</v>
      </c>
      <c r="S40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11</v>
      </c>
      <c r="T40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08" spans="1:20">
      <c r="A408" t="s">
        <v>801</v>
      </c>
      <c r="B408" t="s">
        <v>802</v>
      </c>
      <c r="C408" t="s">
        <v>59</v>
      </c>
      <c r="D408" t="s">
        <v>46</v>
      </c>
      <c r="E408" t="s">
        <v>36</v>
      </c>
      <c r="F408" t="s">
        <v>37</v>
      </c>
      <c r="G408" s="5">
        <v>9.8000000000000007</v>
      </c>
      <c r="H408" s="7">
        <v>0.16600000000000001</v>
      </c>
      <c r="I408" s="5" t="s">
        <v>38</v>
      </c>
      <c r="J408" t="s">
        <v>27</v>
      </c>
      <c r="K408" t="s">
        <v>60</v>
      </c>
      <c r="L408" t="s">
        <v>75</v>
      </c>
      <c r="M408" t="s">
        <v>76</v>
      </c>
      <c r="N408" s="8">
        <v>46255</v>
      </c>
      <c r="O408" s="8">
        <v>46262</v>
      </c>
      <c r="P408" t="s">
        <v>42</v>
      </c>
      <c r="Q408" s="8"/>
      <c r="R408" t="s">
        <v>26</v>
      </c>
      <c r="S40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40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09" spans="1:20">
      <c r="A409" t="s">
        <v>803</v>
      </c>
      <c r="B409" t="s">
        <v>804</v>
      </c>
      <c r="C409" t="s">
        <v>59</v>
      </c>
      <c r="D409" t="s">
        <v>63</v>
      </c>
      <c r="E409" t="s">
        <v>216</v>
      </c>
      <c r="F409" t="s">
        <v>217</v>
      </c>
      <c r="G409" s="5">
        <v>9.1</v>
      </c>
      <c r="H409" s="7">
        <v>0.16600000000000001</v>
      </c>
      <c r="I409" s="5" t="s">
        <v>38</v>
      </c>
      <c r="J409" t="s">
        <v>110</v>
      </c>
      <c r="K409" t="s">
        <v>28</v>
      </c>
      <c r="L409" t="s">
        <v>80</v>
      </c>
      <c r="M409" t="s">
        <v>81</v>
      </c>
      <c r="N409" s="8">
        <v>46255</v>
      </c>
      <c r="O409" s="8">
        <v>46262</v>
      </c>
      <c r="P409" t="s">
        <v>42</v>
      </c>
      <c r="Q409" s="8"/>
      <c r="R409" t="s">
        <v>38</v>
      </c>
      <c r="S40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0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10" spans="1:20">
      <c r="A410" t="s">
        <v>805</v>
      </c>
      <c r="B410" t="s">
        <v>806</v>
      </c>
      <c r="C410" t="s">
        <v>59</v>
      </c>
      <c r="D410" t="s">
        <v>113</v>
      </c>
      <c r="E410" t="s">
        <v>142</v>
      </c>
      <c r="F410" t="s">
        <v>71</v>
      </c>
      <c r="G410" s="5">
        <v>8.8000000000000007</v>
      </c>
      <c r="H410" s="7">
        <v>0.52300000000000002</v>
      </c>
      <c r="I410" s="5" t="s">
        <v>38</v>
      </c>
      <c r="J410" t="s">
        <v>39</v>
      </c>
      <c r="K410" t="s">
        <v>60</v>
      </c>
      <c r="L410" t="s">
        <v>48</v>
      </c>
      <c r="M410" t="s">
        <v>132</v>
      </c>
      <c r="N410" s="8">
        <v>46238</v>
      </c>
      <c r="O410" s="8">
        <v>46252</v>
      </c>
      <c r="P410" t="s">
        <v>50</v>
      </c>
      <c r="Q410" s="8"/>
      <c r="R410" t="s">
        <v>38</v>
      </c>
      <c r="S41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1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11" spans="1:20">
      <c r="A411" t="s">
        <v>807</v>
      </c>
      <c r="B411" t="s">
        <v>808</v>
      </c>
      <c r="C411" t="s">
        <v>22</v>
      </c>
      <c r="D411" t="s">
        <v>35</v>
      </c>
      <c r="E411" t="s">
        <v>201</v>
      </c>
      <c r="F411" t="s">
        <v>202</v>
      </c>
      <c r="G411" s="5">
        <v>9.8000000000000007</v>
      </c>
      <c r="H411" s="7">
        <v>0.06</v>
      </c>
      <c r="I411" s="5" t="s">
        <v>38</v>
      </c>
      <c r="J411" t="s">
        <v>39</v>
      </c>
      <c r="K411" t="s">
        <v>60</v>
      </c>
      <c r="L411" t="s">
        <v>29</v>
      </c>
      <c r="M411" t="s">
        <v>65</v>
      </c>
      <c r="N411" s="8">
        <v>46257</v>
      </c>
      <c r="O411" s="8">
        <v>46264</v>
      </c>
      <c r="P411" t="s">
        <v>101</v>
      </c>
      <c r="Q411" s="8">
        <v>46284</v>
      </c>
      <c r="R411" t="s">
        <v>38</v>
      </c>
      <c r="S41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1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12" spans="1:20">
      <c r="A412" t="s">
        <v>809</v>
      </c>
      <c r="B412" t="s">
        <v>810</v>
      </c>
      <c r="C412" t="s">
        <v>59</v>
      </c>
      <c r="D412" t="s">
        <v>23</v>
      </c>
      <c r="E412" t="s">
        <v>125</v>
      </c>
      <c r="F412" t="s">
        <v>126</v>
      </c>
      <c r="G412" s="5">
        <v>8.6</v>
      </c>
      <c r="H412" s="7">
        <v>0.40799999999999997</v>
      </c>
      <c r="I412" s="5" t="s">
        <v>38</v>
      </c>
      <c r="J412" t="s">
        <v>39</v>
      </c>
      <c r="K412" t="s">
        <v>28</v>
      </c>
      <c r="L412" t="s">
        <v>48</v>
      </c>
      <c r="M412" t="s">
        <v>49</v>
      </c>
      <c r="N412" s="8">
        <v>46271</v>
      </c>
      <c r="O412" s="8">
        <v>46285</v>
      </c>
      <c r="P412" t="s">
        <v>101</v>
      </c>
      <c r="Q412" s="8">
        <v>46275</v>
      </c>
      <c r="R412" t="s">
        <v>38</v>
      </c>
      <c r="S41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1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13" spans="1:20">
      <c r="A413" t="s">
        <v>811</v>
      </c>
      <c r="B413" t="s">
        <v>812</v>
      </c>
      <c r="C413" t="s">
        <v>58</v>
      </c>
      <c r="D413" t="s">
        <v>46</v>
      </c>
      <c r="E413" t="s">
        <v>70</v>
      </c>
      <c r="F413" t="s">
        <v>71</v>
      </c>
      <c r="G413" s="5">
        <v>9.8000000000000007</v>
      </c>
      <c r="H413" s="7">
        <v>7.5999999999999998E-2</v>
      </c>
      <c r="I413" s="5" t="s">
        <v>38</v>
      </c>
      <c r="J413" t="s">
        <v>39</v>
      </c>
      <c r="K413" t="s">
        <v>60</v>
      </c>
      <c r="L413" t="s">
        <v>40</v>
      </c>
      <c r="M413" t="s">
        <v>41</v>
      </c>
      <c r="N413" s="8">
        <v>46256</v>
      </c>
      <c r="O413" s="8">
        <v>46263</v>
      </c>
      <c r="P413" t="s">
        <v>50</v>
      </c>
      <c r="Q413" s="8"/>
      <c r="R413" t="s">
        <v>38</v>
      </c>
      <c r="S41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1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14" spans="1:20">
      <c r="A414" t="s">
        <v>813</v>
      </c>
      <c r="B414" t="s">
        <v>457</v>
      </c>
      <c r="C414" t="s">
        <v>79</v>
      </c>
      <c r="D414" t="s">
        <v>35</v>
      </c>
      <c r="E414" t="s">
        <v>216</v>
      </c>
      <c r="F414" t="s">
        <v>217</v>
      </c>
      <c r="G414" s="5">
        <v>9.1</v>
      </c>
      <c r="H414" s="7">
        <v>0.16500000000000001</v>
      </c>
      <c r="I414" s="5" t="s">
        <v>38</v>
      </c>
      <c r="J414" t="s">
        <v>39</v>
      </c>
      <c r="K414" t="s">
        <v>60</v>
      </c>
      <c r="L414" t="s">
        <v>48</v>
      </c>
      <c r="M414" t="s">
        <v>49</v>
      </c>
      <c r="N414" s="8">
        <v>46238</v>
      </c>
      <c r="O414" s="8">
        <v>46241</v>
      </c>
      <c r="P414" t="s">
        <v>42</v>
      </c>
      <c r="Q414" s="8"/>
      <c r="R414" t="s">
        <v>38</v>
      </c>
      <c r="S41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1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15" spans="1:20">
      <c r="A415" t="s">
        <v>814</v>
      </c>
      <c r="B415" t="s">
        <v>815</v>
      </c>
      <c r="C415" t="s">
        <v>22</v>
      </c>
      <c r="D415" t="s">
        <v>84</v>
      </c>
      <c r="E415" t="s">
        <v>47</v>
      </c>
      <c r="F415" t="s">
        <v>37</v>
      </c>
      <c r="G415" s="5">
        <v>10</v>
      </c>
      <c r="H415" s="7">
        <v>0.16400000000000001</v>
      </c>
      <c r="I415" s="5" t="s">
        <v>26</v>
      </c>
      <c r="J415" t="s">
        <v>27</v>
      </c>
      <c r="K415" t="s">
        <v>28</v>
      </c>
      <c r="L415" t="s">
        <v>75</v>
      </c>
      <c r="M415" t="s">
        <v>76</v>
      </c>
      <c r="N415" s="8">
        <v>46274</v>
      </c>
      <c r="O415" s="8">
        <v>46281</v>
      </c>
      <c r="P415" t="s">
        <v>42</v>
      </c>
      <c r="Q415" s="8"/>
      <c r="R415" t="s">
        <v>26</v>
      </c>
      <c r="S41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41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416" spans="1:20">
      <c r="A416" t="s">
        <v>816</v>
      </c>
      <c r="B416" t="s">
        <v>817</v>
      </c>
      <c r="C416" t="s">
        <v>58</v>
      </c>
      <c r="D416" t="s">
        <v>53</v>
      </c>
      <c r="E416" t="s">
        <v>142</v>
      </c>
      <c r="F416" t="s">
        <v>71</v>
      </c>
      <c r="G416" s="5">
        <v>8.8000000000000007</v>
      </c>
      <c r="H416" s="7">
        <v>0.47299999999999998</v>
      </c>
      <c r="I416" s="5" t="s">
        <v>38</v>
      </c>
      <c r="J416" t="s">
        <v>110</v>
      </c>
      <c r="K416" t="s">
        <v>28</v>
      </c>
      <c r="L416" t="s">
        <v>54</v>
      </c>
      <c r="M416" t="s">
        <v>55</v>
      </c>
      <c r="N416" s="8">
        <v>46244</v>
      </c>
      <c r="O416" s="8">
        <v>46258</v>
      </c>
      <c r="P416" t="s">
        <v>31</v>
      </c>
      <c r="Q416" s="8">
        <v>46267</v>
      </c>
      <c r="R416" t="s">
        <v>38</v>
      </c>
      <c r="S41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1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17" spans="1:20">
      <c r="A417" t="s">
        <v>818</v>
      </c>
      <c r="B417" t="s">
        <v>464</v>
      </c>
      <c r="C417" t="s">
        <v>59</v>
      </c>
      <c r="D417" t="s">
        <v>84</v>
      </c>
      <c r="E417" t="s">
        <v>146</v>
      </c>
      <c r="F417" t="s">
        <v>147</v>
      </c>
      <c r="G417" s="5">
        <v>7.7</v>
      </c>
      <c r="H417" s="7">
        <v>0.16200000000000001</v>
      </c>
      <c r="I417" s="5" t="s">
        <v>38</v>
      </c>
      <c r="J417" t="s">
        <v>27</v>
      </c>
      <c r="K417" t="s">
        <v>60</v>
      </c>
      <c r="L417" t="s">
        <v>75</v>
      </c>
      <c r="M417" t="s">
        <v>129</v>
      </c>
      <c r="N417" s="8">
        <v>46260</v>
      </c>
      <c r="O417" s="8">
        <v>46274</v>
      </c>
      <c r="P417" t="s">
        <v>42</v>
      </c>
      <c r="Q417" s="8"/>
      <c r="R417" t="s">
        <v>26</v>
      </c>
      <c r="S41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1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18" spans="1:20">
      <c r="A418" t="s">
        <v>819</v>
      </c>
      <c r="B418" t="s">
        <v>301</v>
      </c>
      <c r="C418" t="s">
        <v>34</v>
      </c>
      <c r="D418" t="s">
        <v>46</v>
      </c>
      <c r="E418" t="s">
        <v>116</v>
      </c>
      <c r="F418" t="s">
        <v>37</v>
      </c>
      <c r="G418" s="5">
        <v>8.1</v>
      </c>
      <c r="H418" s="7">
        <v>0.159</v>
      </c>
      <c r="I418" s="5" t="s">
        <v>26</v>
      </c>
      <c r="J418" t="s">
        <v>39</v>
      </c>
      <c r="K418" t="s">
        <v>28</v>
      </c>
      <c r="L418" t="s">
        <v>99</v>
      </c>
      <c r="M418" t="s">
        <v>100</v>
      </c>
      <c r="N418" s="8">
        <v>46266</v>
      </c>
      <c r="O418" s="8">
        <v>46280</v>
      </c>
      <c r="P418" t="s">
        <v>42</v>
      </c>
      <c r="Q418" s="8"/>
      <c r="R418" t="s">
        <v>38</v>
      </c>
      <c r="S41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41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19" spans="1:20">
      <c r="A419" t="s">
        <v>820</v>
      </c>
      <c r="B419" t="s">
        <v>821</v>
      </c>
      <c r="C419" t="s">
        <v>45</v>
      </c>
      <c r="D419" t="s">
        <v>104</v>
      </c>
      <c r="E419" t="s">
        <v>36</v>
      </c>
      <c r="F419" t="s">
        <v>37</v>
      </c>
      <c r="G419" s="5">
        <v>9.8000000000000007</v>
      </c>
      <c r="H419" s="7">
        <v>0.159</v>
      </c>
      <c r="I419" s="5" t="s">
        <v>38</v>
      </c>
      <c r="J419" t="s">
        <v>39</v>
      </c>
      <c r="K419" t="s">
        <v>28</v>
      </c>
      <c r="L419" t="s">
        <v>29</v>
      </c>
      <c r="M419" t="s">
        <v>30</v>
      </c>
      <c r="N419" s="8">
        <v>46241</v>
      </c>
      <c r="O419" s="8">
        <v>46248</v>
      </c>
      <c r="P419" t="s">
        <v>42</v>
      </c>
      <c r="Q419" s="8"/>
      <c r="R419" t="s">
        <v>38</v>
      </c>
      <c r="S41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1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20" spans="1:20">
      <c r="A420" t="s">
        <v>822</v>
      </c>
      <c r="B420" t="s">
        <v>707</v>
      </c>
      <c r="C420" t="s">
        <v>22</v>
      </c>
      <c r="D420" t="s">
        <v>90</v>
      </c>
      <c r="E420" t="s">
        <v>125</v>
      </c>
      <c r="F420" t="s">
        <v>126</v>
      </c>
      <c r="G420" s="5">
        <v>8.6</v>
      </c>
      <c r="H420" s="7">
        <v>0.159</v>
      </c>
      <c r="I420" s="5" t="s">
        <v>38</v>
      </c>
      <c r="J420" t="s">
        <v>39</v>
      </c>
      <c r="K420" t="s">
        <v>60</v>
      </c>
      <c r="L420" t="s">
        <v>80</v>
      </c>
      <c r="M420" t="s">
        <v>96</v>
      </c>
      <c r="N420" s="8">
        <v>46255</v>
      </c>
      <c r="O420" s="8">
        <v>46269</v>
      </c>
      <c r="P420" t="s">
        <v>42</v>
      </c>
      <c r="Q420" s="8"/>
      <c r="R420" t="s">
        <v>38</v>
      </c>
      <c r="S42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42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21" spans="1:20">
      <c r="A421" t="s">
        <v>823</v>
      </c>
      <c r="B421" t="s">
        <v>824</v>
      </c>
      <c r="C421" t="s">
        <v>45</v>
      </c>
      <c r="D421" t="s">
        <v>23</v>
      </c>
      <c r="E421" t="s">
        <v>47</v>
      </c>
      <c r="F421" t="s">
        <v>37</v>
      </c>
      <c r="G421" s="5">
        <v>10</v>
      </c>
      <c r="H421" s="7">
        <v>0.157</v>
      </c>
      <c r="I421" s="5" t="s">
        <v>26</v>
      </c>
      <c r="J421" t="s">
        <v>39</v>
      </c>
      <c r="K421" t="s">
        <v>60</v>
      </c>
      <c r="L421" t="s">
        <v>75</v>
      </c>
      <c r="M421" t="s">
        <v>76</v>
      </c>
      <c r="N421" s="8">
        <v>46257</v>
      </c>
      <c r="O421" s="8">
        <v>46260</v>
      </c>
      <c r="P421" t="s">
        <v>42</v>
      </c>
      <c r="Q421" s="8"/>
      <c r="R421" t="s">
        <v>38</v>
      </c>
      <c r="S42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2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22" spans="1:20">
      <c r="A422" t="s">
        <v>825</v>
      </c>
      <c r="B422" t="s">
        <v>427</v>
      </c>
      <c r="C422" t="s">
        <v>59</v>
      </c>
      <c r="D422" t="s">
        <v>109</v>
      </c>
      <c r="E422" t="s">
        <v>146</v>
      </c>
      <c r="F422" t="s">
        <v>147</v>
      </c>
      <c r="G422" s="5">
        <v>7.5</v>
      </c>
      <c r="H422" s="7">
        <v>0.153</v>
      </c>
      <c r="I422" s="5" t="s">
        <v>38</v>
      </c>
      <c r="J422" t="s">
        <v>27</v>
      </c>
      <c r="K422" t="s">
        <v>28</v>
      </c>
      <c r="L422" t="s">
        <v>48</v>
      </c>
      <c r="M422" t="s">
        <v>132</v>
      </c>
      <c r="N422" s="8">
        <v>46243</v>
      </c>
      <c r="O422" s="8">
        <v>46257</v>
      </c>
      <c r="P422" t="s">
        <v>42</v>
      </c>
      <c r="Q422" s="8"/>
      <c r="R422" t="s">
        <v>26</v>
      </c>
      <c r="S42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2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23" spans="1:20">
      <c r="A423" t="s">
        <v>826</v>
      </c>
      <c r="B423" t="s">
        <v>827</v>
      </c>
      <c r="C423" t="s">
        <v>59</v>
      </c>
      <c r="D423" t="s">
        <v>53</v>
      </c>
      <c r="E423" t="s">
        <v>116</v>
      </c>
      <c r="F423" t="s">
        <v>37</v>
      </c>
      <c r="G423" s="5">
        <v>8.1</v>
      </c>
      <c r="H423" s="7">
        <v>0.3</v>
      </c>
      <c r="I423" s="5" t="s">
        <v>38</v>
      </c>
      <c r="J423" t="s">
        <v>39</v>
      </c>
      <c r="K423" t="s">
        <v>28</v>
      </c>
      <c r="L423" t="s">
        <v>40</v>
      </c>
      <c r="M423" t="s">
        <v>41</v>
      </c>
      <c r="N423" s="8">
        <v>46262</v>
      </c>
      <c r="O423" s="8">
        <v>46276</v>
      </c>
      <c r="P423" t="s">
        <v>50</v>
      </c>
      <c r="Q423" s="8"/>
      <c r="R423" t="s">
        <v>38</v>
      </c>
      <c r="S42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2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24" spans="1:20">
      <c r="A424" t="s">
        <v>828</v>
      </c>
      <c r="B424" t="s">
        <v>829</v>
      </c>
      <c r="C424" t="s">
        <v>22</v>
      </c>
      <c r="D424" t="s">
        <v>23</v>
      </c>
      <c r="E424" t="s">
        <v>142</v>
      </c>
      <c r="F424" t="s">
        <v>71</v>
      </c>
      <c r="G424" s="5">
        <v>8.8000000000000007</v>
      </c>
      <c r="H424" s="7">
        <v>0.247</v>
      </c>
      <c r="I424" s="5" t="s">
        <v>38</v>
      </c>
      <c r="J424" t="s">
        <v>110</v>
      </c>
      <c r="K424" t="s">
        <v>28</v>
      </c>
      <c r="L424" t="s">
        <v>40</v>
      </c>
      <c r="M424" t="s">
        <v>72</v>
      </c>
      <c r="N424" s="8">
        <v>46241</v>
      </c>
      <c r="O424" s="8">
        <v>46252</v>
      </c>
      <c r="P424" t="s">
        <v>31</v>
      </c>
      <c r="Q424" s="8">
        <v>46262</v>
      </c>
      <c r="R424" t="s">
        <v>38</v>
      </c>
      <c r="S42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2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25" spans="1:20">
      <c r="A425" t="s">
        <v>830</v>
      </c>
      <c r="B425" t="s">
        <v>831</v>
      </c>
      <c r="C425" t="s">
        <v>34</v>
      </c>
      <c r="D425" t="s">
        <v>63</v>
      </c>
      <c r="E425" t="s">
        <v>125</v>
      </c>
      <c r="F425" t="s">
        <v>126</v>
      </c>
      <c r="G425" s="5">
        <v>8.8000000000000007</v>
      </c>
      <c r="H425" s="7">
        <v>0.193</v>
      </c>
      <c r="I425" s="5" t="s">
        <v>38</v>
      </c>
      <c r="J425" t="s">
        <v>27</v>
      </c>
      <c r="K425" t="s">
        <v>60</v>
      </c>
      <c r="L425" t="s">
        <v>40</v>
      </c>
      <c r="M425" t="s">
        <v>72</v>
      </c>
      <c r="N425" s="8">
        <v>46254</v>
      </c>
      <c r="O425" s="8">
        <v>46268</v>
      </c>
      <c r="P425" t="s">
        <v>101</v>
      </c>
      <c r="Q425" s="8">
        <v>46263</v>
      </c>
      <c r="R425" t="s">
        <v>26</v>
      </c>
      <c r="S42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2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26" spans="1:20">
      <c r="A426" t="s">
        <v>832</v>
      </c>
      <c r="B426" t="s">
        <v>833</v>
      </c>
      <c r="C426" t="s">
        <v>59</v>
      </c>
      <c r="D426" t="s">
        <v>109</v>
      </c>
      <c r="E426" t="s">
        <v>125</v>
      </c>
      <c r="F426" t="s">
        <v>126</v>
      </c>
      <c r="G426" s="5">
        <v>8.6</v>
      </c>
      <c r="H426" s="7">
        <v>0.40699999999999997</v>
      </c>
      <c r="I426" s="5" t="s">
        <v>38</v>
      </c>
      <c r="J426" t="s">
        <v>39</v>
      </c>
      <c r="K426" t="s">
        <v>28</v>
      </c>
      <c r="L426" t="s">
        <v>29</v>
      </c>
      <c r="M426" t="s">
        <v>30</v>
      </c>
      <c r="N426" s="8">
        <v>46260</v>
      </c>
      <c r="O426" s="8">
        <v>46274</v>
      </c>
      <c r="P426" t="s">
        <v>101</v>
      </c>
      <c r="Q426" s="8">
        <v>46281</v>
      </c>
      <c r="R426" t="s">
        <v>38</v>
      </c>
      <c r="S42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2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27" spans="1:20">
      <c r="A427" t="s">
        <v>834</v>
      </c>
      <c r="B427" t="s">
        <v>835</v>
      </c>
      <c r="C427" t="s">
        <v>34</v>
      </c>
      <c r="D427" t="s">
        <v>84</v>
      </c>
      <c r="E427" t="s">
        <v>116</v>
      </c>
      <c r="F427" t="s">
        <v>37</v>
      </c>
      <c r="G427" s="5">
        <v>8.1</v>
      </c>
      <c r="H427" s="7">
        <v>0.152</v>
      </c>
      <c r="I427" s="5" t="s">
        <v>26</v>
      </c>
      <c r="J427" t="s">
        <v>110</v>
      </c>
      <c r="K427" t="s">
        <v>87</v>
      </c>
      <c r="L427" t="s">
        <v>48</v>
      </c>
      <c r="M427" t="s">
        <v>49</v>
      </c>
      <c r="N427" s="8">
        <v>46252</v>
      </c>
      <c r="O427" s="8">
        <v>46266</v>
      </c>
      <c r="P427" t="s">
        <v>42</v>
      </c>
      <c r="Q427" s="8"/>
      <c r="R427" t="s">
        <v>38</v>
      </c>
      <c r="S42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2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28" spans="1:20">
      <c r="A428" t="s">
        <v>836</v>
      </c>
      <c r="B428" t="s">
        <v>837</v>
      </c>
      <c r="C428" t="s">
        <v>79</v>
      </c>
      <c r="D428" t="s">
        <v>104</v>
      </c>
      <c r="E428" t="s">
        <v>24</v>
      </c>
      <c r="F428" t="s">
        <v>25</v>
      </c>
      <c r="G428" s="5">
        <v>10</v>
      </c>
      <c r="H428" s="7">
        <v>0.13900000000000001</v>
      </c>
      <c r="I428" s="5" t="s">
        <v>38</v>
      </c>
      <c r="J428" t="s">
        <v>110</v>
      </c>
      <c r="K428" t="s">
        <v>87</v>
      </c>
      <c r="L428" t="s">
        <v>40</v>
      </c>
      <c r="M428" t="s">
        <v>72</v>
      </c>
      <c r="N428" s="8">
        <v>46270</v>
      </c>
      <c r="O428" s="8">
        <v>46277</v>
      </c>
      <c r="P428" t="s">
        <v>91</v>
      </c>
      <c r="Q428" s="8"/>
      <c r="R428" t="s">
        <v>38</v>
      </c>
      <c r="S42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2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29" spans="1:20">
      <c r="A429" t="s">
        <v>838</v>
      </c>
      <c r="B429" t="s">
        <v>817</v>
      </c>
      <c r="C429" t="s">
        <v>58</v>
      </c>
      <c r="D429" t="s">
        <v>35</v>
      </c>
      <c r="E429" t="s">
        <v>36</v>
      </c>
      <c r="F429" t="s">
        <v>37</v>
      </c>
      <c r="G429" s="5">
        <v>9.8000000000000007</v>
      </c>
      <c r="H429" s="7">
        <v>0.14699999999999999</v>
      </c>
      <c r="I429" s="5" t="s">
        <v>38</v>
      </c>
      <c r="J429" t="s">
        <v>39</v>
      </c>
      <c r="K429" t="s">
        <v>28</v>
      </c>
      <c r="L429" t="s">
        <v>29</v>
      </c>
      <c r="M429" t="s">
        <v>65</v>
      </c>
      <c r="N429" s="8">
        <v>46243</v>
      </c>
      <c r="O429" s="8">
        <v>46250</v>
      </c>
      <c r="P429" t="s">
        <v>42</v>
      </c>
      <c r="Q429" s="8"/>
      <c r="R429" t="s">
        <v>38</v>
      </c>
      <c r="S42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2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30" spans="1:20">
      <c r="A430" t="s">
        <v>839</v>
      </c>
      <c r="B430" t="s">
        <v>668</v>
      </c>
      <c r="C430" t="s">
        <v>22</v>
      </c>
      <c r="D430" t="s">
        <v>63</v>
      </c>
      <c r="E430" t="s">
        <v>201</v>
      </c>
      <c r="F430" t="s">
        <v>202</v>
      </c>
      <c r="G430" s="5">
        <v>9.8000000000000007</v>
      </c>
      <c r="H430" s="7">
        <v>0.14599999999999999</v>
      </c>
      <c r="I430" s="5" t="s">
        <v>38</v>
      </c>
      <c r="J430" t="s">
        <v>39</v>
      </c>
      <c r="K430" t="s">
        <v>28</v>
      </c>
      <c r="L430" t="s">
        <v>29</v>
      </c>
      <c r="M430" t="s">
        <v>65</v>
      </c>
      <c r="N430" s="8">
        <v>46246</v>
      </c>
      <c r="O430" s="8">
        <v>46253</v>
      </c>
      <c r="P430" t="s">
        <v>42</v>
      </c>
      <c r="Q430" s="8"/>
      <c r="R430" t="s">
        <v>38</v>
      </c>
      <c r="S43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3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31" spans="1:20">
      <c r="A431" t="s">
        <v>840</v>
      </c>
      <c r="B431" t="s">
        <v>841</v>
      </c>
      <c r="C431" t="s">
        <v>45</v>
      </c>
      <c r="D431" t="s">
        <v>84</v>
      </c>
      <c r="E431" t="s">
        <v>64</v>
      </c>
      <c r="F431" t="s">
        <v>37</v>
      </c>
      <c r="G431" s="5">
        <v>9.8000000000000007</v>
      </c>
      <c r="H431" s="7">
        <v>0.14399999999999999</v>
      </c>
      <c r="I431" s="5" t="s">
        <v>26</v>
      </c>
      <c r="J431" t="s">
        <v>39</v>
      </c>
      <c r="K431" t="s">
        <v>28</v>
      </c>
      <c r="L431" t="s">
        <v>99</v>
      </c>
      <c r="M431" t="s">
        <v>100</v>
      </c>
      <c r="N431" s="8">
        <v>46254</v>
      </c>
      <c r="O431" s="8">
        <v>46261</v>
      </c>
      <c r="P431" t="s">
        <v>42</v>
      </c>
      <c r="Q431" s="8"/>
      <c r="R431" t="s">
        <v>38</v>
      </c>
      <c r="S43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3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32" spans="1:20">
      <c r="A432" t="s">
        <v>842</v>
      </c>
      <c r="B432" t="s">
        <v>843</v>
      </c>
      <c r="C432" t="s">
        <v>34</v>
      </c>
      <c r="D432" t="s">
        <v>84</v>
      </c>
      <c r="E432" t="s">
        <v>70</v>
      </c>
      <c r="F432" t="s">
        <v>71</v>
      </c>
      <c r="G432" s="5">
        <v>10</v>
      </c>
      <c r="H432" s="7">
        <v>0.14099999999999999</v>
      </c>
      <c r="I432" s="5" t="s">
        <v>26</v>
      </c>
      <c r="J432" t="s">
        <v>27</v>
      </c>
      <c r="K432" t="s">
        <v>28</v>
      </c>
      <c r="L432" t="s">
        <v>48</v>
      </c>
      <c r="M432" t="s">
        <v>132</v>
      </c>
      <c r="N432" s="8">
        <v>46275</v>
      </c>
      <c r="O432" s="8">
        <v>46282</v>
      </c>
      <c r="P432" t="s">
        <v>42</v>
      </c>
      <c r="Q432" s="8"/>
      <c r="R432" t="s">
        <v>26</v>
      </c>
      <c r="S43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43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433" spans="1:20">
      <c r="A433" t="s">
        <v>844</v>
      </c>
      <c r="B433" t="s">
        <v>624</v>
      </c>
      <c r="C433" t="s">
        <v>79</v>
      </c>
      <c r="D433" t="s">
        <v>104</v>
      </c>
      <c r="E433" t="s">
        <v>47</v>
      </c>
      <c r="F433" t="s">
        <v>37</v>
      </c>
      <c r="G433" s="5">
        <v>10</v>
      </c>
      <c r="H433" s="7">
        <v>6.0999999999999999E-2</v>
      </c>
      <c r="I433" s="5" t="s">
        <v>38</v>
      </c>
      <c r="J433" t="s">
        <v>110</v>
      </c>
      <c r="K433" t="s">
        <v>87</v>
      </c>
      <c r="L433" t="s">
        <v>29</v>
      </c>
      <c r="M433" t="s">
        <v>30</v>
      </c>
      <c r="N433" s="8">
        <v>46266</v>
      </c>
      <c r="O433" s="8">
        <v>46273</v>
      </c>
      <c r="P433" t="s">
        <v>31</v>
      </c>
      <c r="Q433" s="8">
        <v>46279</v>
      </c>
      <c r="R433" t="s">
        <v>38</v>
      </c>
      <c r="S43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3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34" spans="1:20">
      <c r="A434" t="s">
        <v>845</v>
      </c>
      <c r="B434" t="s">
        <v>846</v>
      </c>
      <c r="C434" t="s">
        <v>58</v>
      </c>
      <c r="D434" t="s">
        <v>109</v>
      </c>
      <c r="E434" t="s">
        <v>201</v>
      </c>
      <c r="F434" t="s">
        <v>202</v>
      </c>
      <c r="G434" s="5">
        <v>9.8000000000000007</v>
      </c>
      <c r="H434" s="7">
        <v>0.14000000000000001</v>
      </c>
      <c r="I434" s="5" t="s">
        <v>38</v>
      </c>
      <c r="J434" t="s">
        <v>27</v>
      </c>
      <c r="K434" t="s">
        <v>60</v>
      </c>
      <c r="L434" t="s">
        <v>29</v>
      </c>
      <c r="M434" t="s">
        <v>65</v>
      </c>
      <c r="N434" s="8">
        <v>46257</v>
      </c>
      <c r="O434" s="8">
        <v>46261</v>
      </c>
      <c r="P434" t="s">
        <v>42</v>
      </c>
      <c r="Q434" s="8"/>
      <c r="R434" t="s">
        <v>26</v>
      </c>
      <c r="S43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43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35" spans="1:20">
      <c r="A435" t="s">
        <v>847</v>
      </c>
      <c r="B435" t="s">
        <v>824</v>
      </c>
      <c r="C435" t="s">
        <v>45</v>
      </c>
      <c r="D435" t="s">
        <v>63</v>
      </c>
      <c r="E435" t="s">
        <v>116</v>
      </c>
      <c r="F435" t="s">
        <v>37</v>
      </c>
      <c r="G435" s="5">
        <v>8.1</v>
      </c>
      <c r="H435" s="7">
        <v>8.8999999999999996E-2</v>
      </c>
      <c r="I435" s="5" t="s">
        <v>26</v>
      </c>
      <c r="J435" t="s">
        <v>39</v>
      </c>
      <c r="K435" t="s">
        <v>87</v>
      </c>
      <c r="L435" t="s">
        <v>75</v>
      </c>
      <c r="M435" t="s">
        <v>76</v>
      </c>
      <c r="N435" s="8">
        <v>46247</v>
      </c>
      <c r="O435" s="8">
        <v>46257</v>
      </c>
      <c r="P435" t="s">
        <v>31</v>
      </c>
      <c r="Q435" s="8">
        <v>46250</v>
      </c>
      <c r="R435" t="s">
        <v>38</v>
      </c>
      <c r="S43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3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36" spans="1:20">
      <c r="A436" t="s">
        <v>848</v>
      </c>
      <c r="B436" t="s">
        <v>849</v>
      </c>
      <c r="C436" t="s">
        <v>45</v>
      </c>
      <c r="D436" t="s">
        <v>23</v>
      </c>
      <c r="E436" t="s">
        <v>125</v>
      </c>
      <c r="F436" t="s">
        <v>126</v>
      </c>
      <c r="G436" s="5">
        <v>8.6</v>
      </c>
      <c r="H436" s="7">
        <v>0.33600000000000002</v>
      </c>
      <c r="I436" s="5" t="s">
        <v>38</v>
      </c>
      <c r="J436" t="s">
        <v>39</v>
      </c>
      <c r="K436" t="s">
        <v>28</v>
      </c>
      <c r="L436" t="s">
        <v>29</v>
      </c>
      <c r="M436" t="s">
        <v>65</v>
      </c>
      <c r="N436" s="8">
        <v>46236</v>
      </c>
      <c r="O436" s="8">
        <v>46250</v>
      </c>
      <c r="P436" t="s">
        <v>50</v>
      </c>
      <c r="Q436" s="8"/>
      <c r="R436" t="s">
        <v>38</v>
      </c>
      <c r="S43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3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37" spans="1:20">
      <c r="A437" t="s">
        <v>850</v>
      </c>
      <c r="B437" t="s">
        <v>511</v>
      </c>
      <c r="C437" t="s">
        <v>34</v>
      </c>
      <c r="D437" t="s">
        <v>59</v>
      </c>
      <c r="E437" t="s">
        <v>70</v>
      </c>
      <c r="F437" t="s">
        <v>71</v>
      </c>
      <c r="G437" s="5">
        <v>9.8000000000000007</v>
      </c>
      <c r="H437" s="7">
        <v>3.9E-2</v>
      </c>
      <c r="I437" s="5" t="s">
        <v>38</v>
      </c>
      <c r="J437" t="s">
        <v>110</v>
      </c>
      <c r="K437" t="s">
        <v>28</v>
      </c>
      <c r="L437" t="s">
        <v>80</v>
      </c>
      <c r="M437" t="s">
        <v>81</v>
      </c>
      <c r="N437" s="8">
        <v>46261</v>
      </c>
      <c r="O437" s="8">
        <v>46268</v>
      </c>
      <c r="P437" t="s">
        <v>91</v>
      </c>
      <c r="Q437" s="8"/>
      <c r="R437" t="s">
        <v>38</v>
      </c>
      <c r="S43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3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38" spans="1:20">
      <c r="A438" t="s">
        <v>851</v>
      </c>
      <c r="B438" t="s">
        <v>226</v>
      </c>
      <c r="C438" t="s">
        <v>45</v>
      </c>
      <c r="D438" t="s">
        <v>35</v>
      </c>
      <c r="E438" t="s">
        <v>142</v>
      </c>
      <c r="F438" t="s">
        <v>71</v>
      </c>
      <c r="G438" s="5">
        <v>8.8000000000000007</v>
      </c>
      <c r="H438" s="7">
        <v>0.32</v>
      </c>
      <c r="I438" s="5" t="s">
        <v>38</v>
      </c>
      <c r="J438" t="s">
        <v>110</v>
      </c>
      <c r="K438" t="s">
        <v>28</v>
      </c>
      <c r="L438" t="s">
        <v>48</v>
      </c>
      <c r="M438" t="s">
        <v>132</v>
      </c>
      <c r="N438" s="8">
        <v>46242</v>
      </c>
      <c r="O438" s="8">
        <v>46256</v>
      </c>
      <c r="P438" t="s">
        <v>50</v>
      </c>
      <c r="Q438" s="8"/>
      <c r="R438" t="s">
        <v>38</v>
      </c>
      <c r="S43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3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39" spans="1:20">
      <c r="A439" t="s">
        <v>852</v>
      </c>
      <c r="B439" t="s">
        <v>853</v>
      </c>
      <c r="C439" t="s">
        <v>59</v>
      </c>
      <c r="D439" t="s">
        <v>63</v>
      </c>
      <c r="E439" t="s">
        <v>47</v>
      </c>
      <c r="F439" t="s">
        <v>37</v>
      </c>
      <c r="G439" s="5">
        <v>10</v>
      </c>
      <c r="H439" s="7">
        <v>0.14000000000000001</v>
      </c>
      <c r="I439" s="5" t="s">
        <v>38</v>
      </c>
      <c r="J439" t="s">
        <v>39</v>
      </c>
      <c r="K439" t="s">
        <v>60</v>
      </c>
      <c r="L439" t="s">
        <v>75</v>
      </c>
      <c r="M439" t="s">
        <v>129</v>
      </c>
      <c r="N439" s="8">
        <v>46255</v>
      </c>
      <c r="O439" s="8">
        <v>46262</v>
      </c>
      <c r="P439" t="s">
        <v>42</v>
      </c>
      <c r="Q439" s="8"/>
      <c r="R439" t="s">
        <v>38</v>
      </c>
      <c r="S43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3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40" spans="1:20">
      <c r="A440" t="s">
        <v>854</v>
      </c>
      <c r="B440" t="s">
        <v>855</v>
      </c>
      <c r="C440" t="s">
        <v>79</v>
      </c>
      <c r="D440" t="s">
        <v>53</v>
      </c>
      <c r="E440" t="s">
        <v>36</v>
      </c>
      <c r="F440" t="s">
        <v>37</v>
      </c>
      <c r="G440" s="5">
        <v>9.8000000000000007</v>
      </c>
      <c r="H440" s="7">
        <v>9.0999999999999998E-2</v>
      </c>
      <c r="I440" s="5" t="s">
        <v>38</v>
      </c>
      <c r="J440" t="s">
        <v>39</v>
      </c>
      <c r="K440" t="s">
        <v>60</v>
      </c>
      <c r="L440" t="s">
        <v>54</v>
      </c>
      <c r="M440" t="s">
        <v>55</v>
      </c>
      <c r="N440" s="8">
        <v>46246</v>
      </c>
      <c r="O440" s="8">
        <v>46253</v>
      </c>
      <c r="P440" t="s">
        <v>50</v>
      </c>
      <c r="Q440" s="8"/>
      <c r="R440" t="s">
        <v>38</v>
      </c>
      <c r="S44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4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41" spans="1:20">
      <c r="A441" t="s">
        <v>856</v>
      </c>
      <c r="B441" t="s">
        <v>857</v>
      </c>
      <c r="C441" t="s">
        <v>45</v>
      </c>
      <c r="D441" t="s">
        <v>23</v>
      </c>
      <c r="E441" t="s">
        <v>47</v>
      </c>
      <c r="F441" t="s">
        <v>37</v>
      </c>
      <c r="G441" s="5">
        <v>10</v>
      </c>
      <c r="H441" s="7">
        <v>0.14000000000000001</v>
      </c>
      <c r="I441" s="5" t="s">
        <v>38</v>
      </c>
      <c r="J441" t="s">
        <v>39</v>
      </c>
      <c r="K441" t="s">
        <v>60</v>
      </c>
      <c r="L441" t="s">
        <v>75</v>
      </c>
      <c r="M441" t="s">
        <v>76</v>
      </c>
      <c r="N441" s="8">
        <v>46262</v>
      </c>
      <c r="O441" s="8">
        <v>46269</v>
      </c>
      <c r="P441" t="s">
        <v>42</v>
      </c>
      <c r="Q441" s="8"/>
      <c r="R441" t="s">
        <v>38</v>
      </c>
      <c r="S44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4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42" spans="1:20">
      <c r="A442" t="s">
        <v>858</v>
      </c>
      <c r="B442" t="s">
        <v>859</v>
      </c>
      <c r="C442" t="s">
        <v>34</v>
      </c>
      <c r="D442" t="s">
        <v>113</v>
      </c>
      <c r="E442" t="s">
        <v>146</v>
      </c>
      <c r="F442" t="s">
        <v>147</v>
      </c>
      <c r="G442" s="5">
        <v>7.5</v>
      </c>
      <c r="H442" s="7">
        <v>0.432</v>
      </c>
      <c r="I442" s="5" t="s">
        <v>38</v>
      </c>
      <c r="J442" t="s">
        <v>39</v>
      </c>
      <c r="K442" t="s">
        <v>28</v>
      </c>
      <c r="L442" t="s">
        <v>29</v>
      </c>
      <c r="M442" t="s">
        <v>65</v>
      </c>
      <c r="N442" s="8">
        <v>46257</v>
      </c>
      <c r="O442" s="8">
        <v>46271</v>
      </c>
      <c r="P442" t="s">
        <v>101</v>
      </c>
      <c r="Q442" s="8">
        <v>46267</v>
      </c>
      <c r="R442" t="s">
        <v>38</v>
      </c>
      <c r="S44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4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43" spans="1:20">
      <c r="A443" t="s">
        <v>860</v>
      </c>
      <c r="B443" t="s">
        <v>861</v>
      </c>
      <c r="C443" t="s">
        <v>59</v>
      </c>
      <c r="D443" t="s">
        <v>84</v>
      </c>
      <c r="E443" t="s">
        <v>146</v>
      </c>
      <c r="F443" t="s">
        <v>147</v>
      </c>
      <c r="G443" s="5">
        <v>7.5</v>
      </c>
      <c r="H443" s="7">
        <v>0.26500000000000001</v>
      </c>
      <c r="I443" s="5" t="s">
        <v>38</v>
      </c>
      <c r="J443" t="s">
        <v>39</v>
      </c>
      <c r="K443" t="s">
        <v>28</v>
      </c>
      <c r="L443" t="s">
        <v>29</v>
      </c>
      <c r="M443" t="s">
        <v>65</v>
      </c>
      <c r="N443" s="8">
        <v>46269</v>
      </c>
      <c r="O443" s="8">
        <v>46279</v>
      </c>
      <c r="P443" t="s">
        <v>31</v>
      </c>
      <c r="Q443" s="8">
        <v>46277</v>
      </c>
      <c r="R443" t="s">
        <v>38</v>
      </c>
      <c r="S44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4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44" spans="1:20">
      <c r="A444" t="s">
        <v>862</v>
      </c>
      <c r="B444" t="s">
        <v>863</v>
      </c>
      <c r="C444" t="s">
        <v>22</v>
      </c>
      <c r="D444" t="s">
        <v>109</v>
      </c>
      <c r="E444" t="s">
        <v>119</v>
      </c>
      <c r="F444" t="s">
        <v>37</v>
      </c>
      <c r="G444" s="5">
        <v>7.8</v>
      </c>
      <c r="H444" s="7">
        <v>0.13900000000000001</v>
      </c>
      <c r="I444" s="5" t="s">
        <v>38</v>
      </c>
      <c r="J444" t="s">
        <v>27</v>
      </c>
      <c r="K444" t="s">
        <v>60</v>
      </c>
      <c r="L444" t="s">
        <v>40</v>
      </c>
      <c r="M444" t="s">
        <v>72</v>
      </c>
      <c r="N444" s="8">
        <v>46245</v>
      </c>
      <c r="O444" s="8">
        <v>46259</v>
      </c>
      <c r="P444" t="s">
        <v>42</v>
      </c>
      <c r="Q444" s="8"/>
      <c r="R444" t="s">
        <v>26</v>
      </c>
      <c r="S44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4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45" spans="1:20">
      <c r="A445" t="s">
        <v>864</v>
      </c>
      <c r="B445" t="s">
        <v>865</v>
      </c>
      <c r="C445" t="s">
        <v>59</v>
      </c>
      <c r="D445" t="s">
        <v>113</v>
      </c>
      <c r="E445" t="s">
        <v>119</v>
      </c>
      <c r="F445" t="s">
        <v>37</v>
      </c>
      <c r="G445" s="5">
        <v>7.8</v>
      </c>
      <c r="H445" s="7">
        <v>0.13800000000000001</v>
      </c>
      <c r="I445" s="5" t="s">
        <v>38</v>
      </c>
      <c r="J445" t="s">
        <v>39</v>
      </c>
      <c r="K445" t="s">
        <v>28</v>
      </c>
      <c r="L445" t="s">
        <v>80</v>
      </c>
      <c r="M445" t="s">
        <v>96</v>
      </c>
      <c r="N445" s="8">
        <v>46237</v>
      </c>
      <c r="O445" s="8">
        <v>46251</v>
      </c>
      <c r="P445" t="s">
        <v>42</v>
      </c>
      <c r="Q445" s="8"/>
      <c r="R445" t="s">
        <v>38</v>
      </c>
      <c r="S44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4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46" spans="1:20">
      <c r="A446" t="s">
        <v>866</v>
      </c>
      <c r="B446" t="s">
        <v>867</v>
      </c>
      <c r="C446" t="s">
        <v>45</v>
      </c>
      <c r="D446" t="s">
        <v>59</v>
      </c>
      <c r="E446" t="s">
        <v>142</v>
      </c>
      <c r="F446" t="s">
        <v>71</v>
      </c>
      <c r="G446" s="5">
        <v>9</v>
      </c>
      <c r="H446" s="7">
        <v>0.13700000000000001</v>
      </c>
      <c r="I446" s="5" t="s">
        <v>38</v>
      </c>
      <c r="J446" t="s">
        <v>27</v>
      </c>
      <c r="K446" t="s">
        <v>28</v>
      </c>
      <c r="L446" t="s">
        <v>99</v>
      </c>
      <c r="M446" t="s">
        <v>100</v>
      </c>
      <c r="N446" s="8">
        <v>46237</v>
      </c>
      <c r="O446" s="8">
        <v>46244</v>
      </c>
      <c r="P446" t="s">
        <v>42</v>
      </c>
      <c r="Q446" s="8"/>
      <c r="R446" t="s">
        <v>26</v>
      </c>
      <c r="S44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44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47" spans="1:20">
      <c r="A447" t="s">
        <v>868</v>
      </c>
      <c r="B447" t="s">
        <v>33</v>
      </c>
      <c r="C447" t="s">
        <v>34</v>
      </c>
      <c r="D447" t="s">
        <v>109</v>
      </c>
      <c r="E447" t="s">
        <v>125</v>
      </c>
      <c r="F447" t="s">
        <v>126</v>
      </c>
      <c r="G447" s="5">
        <v>8.6</v>
      </c>
      <c r="H447" s="7">
        <v>0.255</v>
      </c>
      <c r="I447" s="5" t="s">
        <v>38</v>
      </c>
      <c r="J447" t="s">
        <v>39</v>
      </c>
      <c r="K447" t="s">
        <v>28</v>
      </c>
      <c r="L447" t="s">
        <v>54</v>
      </c>
      <c r="M447" t="s">
        <v>55</v>
      </c>
      <c r="N447" s="8">
        <v>46266</v>
      </c>
      <c r="O447" s="8">
        <v>46280</v>
      </c>
      <c r="P447" t="s">
        <v>50</v>
      </c>
      <c r="Q447" s="8"/>
      <c r="R447" t="s">
        <v>38</v>
      </c>
      <c r="S44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4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48" spans="1:20">
      <c r="A448" t="s">
        <v>869</v>
      </c>
      <c r="B448" t="s">
        <v>588</v>
      </c>
      <c r="C448" t="s">
        <v>34</v>
      </c>
      <c r="D448" t="s">
        <v>63</v>
      </c>
      <c r="E448" t="s">
        <v>36</v>
      </c>
      <c r="F448" t="s">
        <v>37</v>
      </c>
      <c r="G448" s="5">
        <v>9.8000000000000007</v>
      </c>
      <c r="H448" s="7">
        <v>0.13100000000000001</v>
      </c>
      <c r="I448" s="5" t="s">
        <v>38</v>
      </c>
      <c r="J448" t="s">
        <v>39</v>
      </c>
      <c r="K448" t="s">
        <v>28</v>
      </c>
      <c r="L448" t="s">
        <v>40</v>
      </c>
      <c r="M448" t="s">
        <v>41</v>
      </c>
      <c r="N448" s="8">
        <v>46243</v>
      </c>
      <c r="O448" s="8">
        <v>46250</v>
      </c>
      <c r="P448" t="s">
        <v>42</v>
      </c>
      <c r="Q448" s="8"/>
      <c r="R448" t="s">
        <v>38</v>
      </c>
      <c r="S44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4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49" spans="1:20">
      <c r="A449" t="s">
        <v>870</v>
      </c>
      <c r="B449" t="s">
        <v>421</v>
      </c>
      <c r="C449" t="s">
        <v>34</v>
      </c>
      <c r="D449" t="s">
        <v>35</v>
      </c>
      <c r="E449" t="s">
        <v>119</v>
      </c>
      <c r="F449" t="s">
        <v>37</v>
      </c>
      <c r="G449" s="5">
        <v>7.8</v>
      </c>
      <c r="H449" s="7">
        <v>0.13</v>
      </c>
      <c r="I449" s="5" t="s">
        <v>38</v>
      </c>
      <c r="J449" t="s">
        <v>27</v>
      </c>
      <c r="K449" t="s">
        <v>28</v>
      </c>
      <c r="L449" t="s">
        <v>80</v>
      </c>
      <c r="M449" t="s">
        <v>96</v>
      </c>
      <c r="N449" s="8">
        <v>46265</v>
      </c>
      <c r="O449" s="8">
        <v>46279</v>
      </c>
      <c r="P449" t="s">
        <v>42</v>
      </c>
      <c r="Q449" s="8"/>
      <c r="R449" t="s">
        <v>26</v>
      </c>
      <c r="S44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4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50" spans="1:20">
      <c r="A450" t="s">
        <v>871</v>
      </c>
      <c r="B450" t="s">
        <v>872</v>
      </c>
      <c r="C450" t="s">
        <v>58</v>
      </c>
      <c r="D450" t="s">
        <v>122</v>
      </c>
      <c r="E450" t="s">
        <v>125</v>
      </c>
      <c r="F450" t="s">
        <v>126</v>
      </c>
      <c r="G450" s="5">
        <v>8.6</v>
      </c>
      <c r="H450" s="7">
        <v>0.20100000000000001</v>
      </c>
      <c r="I450" s="5" t="s">
        <v>38</v>
      </c>
      <c r="J450" t="s">
        <v>110</v>
      </c>
      <c r="K450" t="s">
        <v>28</v>
      </c>
      <c r="L450" t="s">
        <v>80</v>
      </c>
      <c r="M450" t="s">
        <v>81</v>
      </c>
      <c r="N450" s="8">
        <v>46243</v>
      </c>
      <c r="O450" s="8">
        <v>46257</v>
      </c>
      <c r="P450" t="s">
        <v>31</v>
      </c>
      <c r="Q450" s="8">
        <v>46255</v>
      </c>
      <c r="R450" t="s">
        <v>38</v>
      </c>
      <c r="S45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5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51" spans="1:20">
      <c r="A451" t="s">
        <v>873</v>
      </c>
      <c r="B451" t="s">
        <v>874</v>
      </c>
      <c r="C451" t="s">
        <v>45</v>
      </c>
      <c r="D451" t="s">
        <v>104</v>
      </c>
      <c r="E451" t="s">
        <v>146</v>
      </c>
      <c r="F451" t="s">
        <v>147</v>
      </c>
      <c r="G451" s="5">
        <v>7.5</v>
      </c>
      <c r="H451" s="7">
        <v>0.47899999999999998</v>
      </c>
      <c r="I451" s="5" t="s">
        <v>38</v>
      </c>
      <c r="J451" t="s">
        <v>39</v>
      </c>
      <c r="K451" t="s">
        <v>28</v>
      </c>
      <c r="L451" t="s">
        <v>48</v>
      </c>
      <c r="M451" t="s">
        <v>49</v>
      </c>
      <c r="N451" s="8">
        <v>46256</v>
      </c>
      <c r="O451" s="8">
        <v>46270</v>
      </c>
      <c r="P451" t="s">
        <v>101</v>
      </c>
      <c r="Q451" s="8">
        <v>46262</v>
      </c>
      <c r="R451" t="s">
        <v>38</v>
      </c>
      <c r="S45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5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52" spans="1:20">
      <c r="A452" t="s">
        <v>875</v>
      </c>
      <c r="B452" t="s">
        <v>196</v>
      </c>
      <c r="C452" t="s">
        <v>22</v>
      </c>
      <c r="D452" t="s">
        <v>63</v>
      </c>
      <c r="E452" t="s">
        <v>201</v>
      </c>
      <c r="F452" t="s">
        <v>202</v>
      </c>
      <c r="G452" s="5">
        <v>9.8000000000000007</v>
      </c>
      <c r="H452" s="7">
        <v>0.127</v>
      </c>
      <c r="I452" s="5" t="s">
        <v>38</v>
      </c>
      <c r="J452" t="s">
        <v>110</v>
      </c>
      <c r="K452" t="s">
        <v>28</v>
      </c>
      <c r="L452" t="s">
        <v>99</v>
      </c>
      <c r="M452" t="s">
        <v>100</v>
      </c>
      <c r="N452" s="8">
        <v>46257</v>
      </c>
      <c r="O452" s="8">
        <v>46264</v>
      </c>
      <c r="P452" t="s">
        <v>42</v>
      </c>
      <c r="Q452" s="8"/>
      <c r="R452" t="s">
        <v>38</v>
      </c>
      <c r="S45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5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53" spans="1:20">
      <c r="A453" t="s">
        <v>876</v>
      </c>
      <c r="B453" t="s">
        <v>877</v>
      </c>
      <c r="C453" t="s">
        <v>58</v>
      </c>
      <c r="D453" t="s">
        <v>59</v>
      </c>
      <c r="E453" t="s">
        <v>216</v>
      </c>
      <c r="F453" t="s">
        <v>217</v>
      </c>
      <c r="G453" s="5">
        <v>9.1</v>
      </c>
      <c r="H453" s="7">
        <v>7.6999999999999999E-2</v>
      </c>
      <c r="I453" s="5" t="s">
        <v>38</v>
      </c>
      <c r="J453" t="s">
        <v>39</v>
      </c>
      <c r="K453" t="s">
        <v>28</v>
      </c>
      <c r="L453" t="s">
        <v>40</v>
      </c>
      <c r="M453" t="s">
        <v>41</v>
      </c>
      <c r="N453" s="8">
        <v>46269</v>
      </c>
      <c r="O453" s="8">
        <v>46276</v>
      </c>
      <c r="P453" t="s">
        <v>91</v>
      </c>
      <c r="Q453" s="8"/>
      <c r="R453" t="s">
        <v>38</v>
      </c>
      <c r="S45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5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54" spans="1:20">
      <c r="A454" t="s">
        <v>878</v>
      </c>
      <c r="B454" t="s">
        <v>879</v>
      </c>
      <c r="C454" t="s">
        <v>45</v>
      </c>
      <c r="D454" t="s">
        <v>84</v>
      </c>
      <c r="E454" t="s">
        <v>142</v>
      </c>
      <c r="F454" t="s">
        <v>71</v>
      </c>
      <c r="G454" s="5">
        <v>8.8000000000000007</v>
      </c>
      <c r="H454" s="7">
        <v>0.504</v>
      </c>
      <c r="I454" s="5" t="s">
        <v>38</v>
      </c>
      <c r="J454" t="s">
        <v>110</v>
      </c>
      <c r="K454" t="s">
        <v>60</v>
      </c>
      <c r="L454" t="s">
        <v>99</v>
      </c>
      <c r="M454" t="s">
        <v>100</v>
      </c>
      <c r="N454" s="8">
        <v>46267</v>
      </c>
      <c r="O454" s="8">
        <v>46281</v>
      </c>
      <c r="P454" t="s">
        <v>50</v>
      </c>
      <c r="Q454" s="8"/>
      <c r="R454" t="s">
        <v>38</v>
      </c>
      <c r="S45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5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55" spans="1:20">
      <c r="A455" t="s">
        <v>880</v>
      </c>
      <c r="B455" t="s">
        <v>881</v>
      </c>
      <c r="C455" t="s">
        <v>79</v>
      </c>
      <c r="D455" t="s">
        <v>113</v>
      </c>
      <c r="E455" t="s">
        <v>125</v>
      </c>
      <c r="F455" t="s">
        <v>126</v>
      </c>
      <c r="G455" s="5">
        <v>8.6</v>
      </c>
      <c r="H455" s="7">
        <v>0.127</v>
      </c>
      <c r="I455" s="5" t="s">
        <v>38</v>
      </c>
      <c r="J455" t="s">
        <v>27</v>
      </c>
      <c r="K455" t="s">
        <v>28</v>
      </c>
      <c r="L455" t="s">
        <v>75</v>
      </c>
      <c r="M455" t="s">
        <v>129</v>
      </c>
      <c r="N455" s="8">
        <v>46244</v>
      </c>
      <c r="O455" s="8">
        <v>46258</v>
      </c>
      <c r="P455" t="s">
        <v>42</v>
      </c>
      <c r="Q455" s="8"/>
      <c r="R455" t="s">
        <v>26</v>
      </c>
      <c r="S45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45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56" spans="1:20">
      <c r="A456" t="s">
        <v>882</v>
      </c>
      <c r="B456" t="s">
        <v>694</v>
      </c>
      <c r="C456" t="s">
        <v>79</v>
      </c>
      <c r="D456" t="s">
        <v>23</v>
      </c>
      <c r="E456" t="s">
        <v>36</v>
      </c>
      <c r="F456" t="s">
        <v>37</v>
      </c>
      <c r="G456" s="5">
        <v>9.8000000000000007</v>
      </c>
      <c r="H456" s="7">
        <v>0.155</v>
      </c>
      <c r="I456" s="5" t="s">
        <v>38</v>
      </c>
      <c r="J456" t="s">
        <v>39</v>
      </c>
      <c r="K456" t="s">
        <v>87</v>
      </c>
      <c r="L456" t="s">
        <v>48</v>
      </c>
      <c r="M456" t="s">
        <v>49</v>
      </c>
      <c r="N456" s="8">
        <v>46264</v>
      </c>
      <c r="O456" s="8">
        <v>46271</v>
      </c>
      <c r="P456" t="s">
        <v>31</v>
      </c>
      <c r="Q456" s="8">
        <v>46290</v>
      </c>
      <c r="R456" t="s">
        <v>38</v>
      </c>
      <c r="S45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5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57" spans="1:20">
      <c r="A457" t="s">
        <v>883</v>
      </c>
      <c r="B457" t="s">
        <v>529</v>
      </c>
      <c r="C457" t="s">
        <v>34</v>
      </c>
      <c r="D457" t="s">
        <v>104</v>
      </c>
      <c r="E457" t="s">
        <v>201</v>
      </c>
      <c r="F457" t="s">
        <v>202</v>
      </c>
      <c r="G457" s="5">
        <v>9.8000000000000007</v>
      </c>
      <c r="H457" s="7">
        <v>0.126</v>
      </c>
      <c r="I457" s="5" t="s">
        <v>38</v>
      </c>
      <c r="J457" t="s">
        <v>110</v>
      </c>
      <c r="K457" t="s">
        <v>60</v>
      </c>
      <c r="L457" t="s">
        <v>29</v>
      </c>
      <c r="M457" t="s">
        <v>65</v>
      </c>
      <c r="N457" s="8">
        <v>46249</v>
      </c>
      <c r="O457" s="8">
        <v>46256</v>
      </c>
      <c r="P457" t="s">
        <v>42</v>
      </c>
      <c r="Q457" s="8"/>
      <c r="R457" t="s">
        <v>38</v>
      </c>
      <c r="S45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5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58" spans="1:20">
      <c r="A458" t="s">
        <v>884</v>
      </c>
      <c r="B458" t="s">
        <v>885</v>
      </c>
      <c r="C458" t="s">
        <v>79</v>
      </c>
      <c r="D458" t="s">
        <v>109</v>
      </c>
      <c r="E458" t="s">
        <v>216</v>
      </c>
      <c r="F458" t="s">
        <v>217</v>
      </c>
      <c r="G458" s="5">
        <v>9.1</v>
      </c>
      <c r="H458" s="7">
        <v>0.125</v>
      </c>
      <c r="I458" s="5" t="s">
        <v>38</v>
      </c>
      <c r="J458" t="s">
        <v>39</v>
      </c>
      <c r="K458" t="s">
        <v>28</v>
      </c>
      <c r="L458" t="s">
        <v>75</v>
      </c>
      <c r="M458" t="s">
        <v>129</v>
      </c>
      <c r="N458" s="8">
        <v>46263</v>
      </c>
      <c r="O458" s="8">
        <v>46270</v>
      </c>
      <c r="P458" t="s">
        <v>42</v>
      </c>
      <c r="Q458" s="8"/>
      <c r="R458" t="s">
        <v>38</v>
      </c>
      <c r="S45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5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59" spans="1:20">
      <c r="A459" t="s">
        <v>886</v>
      </c>
      <c r="B459" t="s">
        <v>887</v>
      </c>
      <c r="C459" t="s">
        <v>58</v>
      </c>
      <c r="D459" t="s">
        <v>104</v>
      </c>
      <c r="E459" t="s">
        <v>125</v>
      </c>
      <c r="F459" t="s">
        <v>126</v>
      </c>
      <c r="G459" s="5">
        <v>8.6</v>
      </c>
      <c r="H459" s="7">
        <v>0.15</v>
      </c>
      <c r="I459" s="5" t="s">
        <v>38</v>
      </c>
      <c r="J459" t="s">
        <v>39</v>
      </c>
      <c r="K459" t="s">
        <v>28</v>
      </c>
      <c r="L459" t="s">
        <v>48</v>
      </c>
      <c r="M459" t="s">
        <v>49</v>
      </c>
      <c r="N459" s="8">
        <v>46267</v>
      </c>
      <c r="O459" s="8">
        <v>46281</v>
      </c>
      <c r="P459" t="s">
        <v>50</v>
      </c>
      <c r="Q459" s="8"/>
      <c r="R459" t="s">
        <v>38</v>
      </c>
      <c r="S45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5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60" spans="1:20">
      <c r="A460" t="s">
        <v>888</v>
      </c>
      <c r="B460" t="s">
        <v>889</v>
      </c>
      <c r="C460" t="s">
        <v>58</v>
      </c>
      <c r="D460" t="s">
        <v>104</v>
      </c>
      <c r="E460" t="s">
        <v>24</v>
      </c>
      <c r="F460" t="s">
        <v>25</v>
      </c>
      <c r="G460" s="5">
        <v>10</v>
      </c>
      <c r="H460" s="7">
        <v>0.122</v>
      </c>
      <c r="I460" s="5" t="s">
        <v>26</v>
      </c>
      <c r="J460" t="s">
        <v>39</v>
      </c>
      <c r="K460" t="s">
        <v>60</v>
      </c>
      <c r="L460" t="s">
        <v>40</v>
      </c>
      <c r="M460" t="s">
        <v>41</v>
      </c>
      <c r="N460" s="8">
        <v>46269</v>
      </c>
      <c r="O460" s="8">
        <v>46276</v>
      </c>
      <c r="P460" t="s">
        <v>42</v>
      </c>
      <c r="Q460" s="8"/>
      <c r="R460" t="s">
        <v>38</v>
      </c>
      <c r="S46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6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61" spans="1:20">
      <c r="A461" t="s">
        <v>890</v>
      </c>
      <c r="B461" t="s">
        <v>345</v>
      </c>
      <c r="C461" t="s">
        <v>22</v>
      </c>
      <c r="D461" t="s">
        <v>113</v>
      </c>
      <c r="E461" t="s">
        <v>142</v>
      </c>
      <c r="F461" t="s">
        <v>71</v>
      </c>
      <c r="G461" s="5">
        <v>8.8000000000000007</v>
      </c>
      <c r="H461" s="7">
        <v>0.17599999999999999</v>
      </c>
      <c r="I461" s="5" t="s">
        <v>38</v>
      </c>
      <c r="J461" t="s">
        <v>110</v>
      </c>
      <c r="K461" t="s">
        <v>28</v>
      </c>
      <c r="L461" t="s">
        <v>48</v>
      </c>
      <c r="M461" t="s">
        <v>49</v>
      </c>
      <c r="N461" s="8">
        <v>46254</v>
      </c>
      <c r="O461" s="8">
        <v>46268</v>
      </c>
      <c r="P461" t="s">
        <v>31</v>
      </c>
      <c r="Q461" s="8">
        <v>46288</v>
      </c>
      <c r="R461" t="s">
        <v>38</v>
      </c>
      <c r="S46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6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62" spans="1:20">
      <c r="A462" t="s">
        <v>891</v>
      </c>
      <c r="B462" t="s">
        <v>325</v>
      </c>
      <c r="C462" t="s">
        <v>45</v>
      </c>
      <c r="D462" t="s">
        <v>90</v>
      </c>
      <c r="E462" t="s">
        <v>142</v>
      </c>
      <c r="F462" t="s">
        <v>71</v>
      </c>
      <c r="G462" s="5">
        <v>8.8000000000000007</v>
      </c>
      <c r="H462" s="7">
        <v>0.122</v>
      </c>
      <c r="I462" s="5" t="s">
        <v>38</v>
      </c>
      <c r="J462" t="s">
        <v>39</v>
      </c>
      <c r="K462" t="s">
        <v>28</v>
      </c>
      <c r="L462" t="s">
        <v>40</v>
      </c>
      <c r="M462" t="s">
        <v>41</v>
      </c>
      <c r="N462" s="8">
        <v>46243</v>
      </c>
      <c r="O462" s="8">
        <v>46253</v>
      </c>
      <c r="P462" t="s">
        <v>31</v>
      </c>
      <c r="Q462" s="8">
        <v>46255</v>
      </c>
      <c r="R462" t="s">
        <v>38</v>
      </c>
      <c r="S46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6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63" spans="1:20">
      <c r="A463" t="s">
        <v>892</v>
      </c>
      <c r="B463" t="s">
        <v>533</v>
      </c>
      <c r="C463" t="s">
        <v>58</v>
      </c>
      <c r="D463" t="s">
        <v>104</v>
      </c>
      <c r="E463" t="s">
        <v>201</v>
      </c>
      <c r="F463" t="s">
        <v>202</v>
      </c>
      <c r="G463" s="5">
        <v>9.8000000000000007</v>
      </c>
      <c r="H463" s="7">
        <v>0.155</v>
      </c>
      <c r="I463" s="5" t="s">
        <v>38</v>
      </c>
      <c r="J463" t="s">
        <v>39</v>
      </c>
      <c r="K463" t="s">
        <v>87</v>
      </c>
      <c r="L463" t="s">
        <v>48</v>
      </c>
      <c r="M463" t="s">
        <v>49</v>
      </c>
      <c r="N463" s="8">
        <v>46238</v>
      </c>
      <c r="O463" s="8">
        <v>46245</v>
      </c>
      <c r="P463" t="s">
        <v>31</v>
      </c>
      <c r="Q463" s="8">
        <v>46245</v>
      </c>
      <c r="R463" t="s">
        <v>38</v>
      </c>
      <c r="S46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6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64" spans="1:20">
      <c r="A464" t="s">
        <v>893</v>
      </c>
      <c r="B464" t="s">
        <v>521</v>
      </c>
      <c r="C464" t="s">
        <v>58</v>
      </c>
      <c r="D464" t="s">
        <v>84</v>
      </c>
      <c r="E464" t="s">
        <v>70</v>
      </c>
      <c r="F464" t="s">
        <v>71</v>
      </c>
      <c r="G464" s="5">
        <v>10</v>
      </c>
      <c r="H464" s="7">
        <v>0.12</v>
      </c>
      <c r="I464" s="5" t="s">
        <v>38</v>
      </c>
      <c r="J464" t="s">
        <v>27</v>
      </c>
      <c r="K464" t="s">
        <v>28</v>
      </c>
      <c r="L464" t="s">
        <v>54</v>
      </c>
      <c r="M464" t="s">
        <v>55</v>
      </c>
      <c r="N464" s="8">
        <v>46249</v>
      </c>
      <c r="O464" s="8">
        <v>46256</v>
      </c>
      <c r="P464" t="s">
        <v>42</v>
      </c>
      <c r="Q464" s="8"/>
      <c r="R464" t="s">
        <v>26</v>
      </c>
      <c r="S46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6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65" spans="1:20">
      <c r="A465" t="s">
        <v>894</v>
      </c>
      <c r="B465" t="s">
        <v>895</v>
      </c>
      <c r="C465" t="s">
        <v>79</v>
      </c>
      <c r="D465" t="s">
        <v>53</v>
      </c>
      <c r="E465" t="s">
        <v>64</v>
      </c>
      <c r="F465" t="s">
        <v>37</v>
      </c>
      <c r="G465" s="5">
        <v>9.8000000000000007</v>
      </c>
      <c r="H465" s="7">
        <v>0.12</v>
      </c>
      <c r="I465" s="5" t="s">
        <v>26</v>
      </c>
      <c r="J465" t="s">
        <v>39</v>
      </c>
      <c r="K465" t="s">
        <v>28</v>
      </c>
      <c r="L465" t="s">
        <v>54</v>
      </c>
      <c r="M465" t="s">
        <v>55</v>
      </c>
      <c r="N465" s="8">
        <v>46266</v>
      </c>
      <c r="O465" s="8">
        <v>46273</v>
      </c>
      <c r="P465" t="s">
        <v>42</v>
      </c>
      <c r="Q465" s="8"/>
      <c r="R465" t="s">
        <v>38</v>
      </c>
      <c r="S46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6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66" spans="1:20">
      <c r="A466" t="s">
        <v>896</v>
      </c>
      <c r="B466" t="s">
        <v>606</v>
      </c>
      <c r="C466" t="s">
        <v>59</v>
      </c>
      <c r="D466" t="s">
        <v>104</v>
      </c>
      <c r="E466" t="s">
        <v>146</v>
      </c>
      <c r="F466" t="s">
        <v>147</v>
      </c>
      <c r="G466" s="5">
        <v>7.5</v>
      </c>
      <c r="H466" s="7">
        <v>0.20699999999999999</v>
      </c>
      <c r="I466" s="5" t="s">
        <v>38</v>
      </c>
      <c r="J466" t="s">
        <v>39</v>
      </c>
      <c r="K466" t="s">
        <v>60</v>
      </c>
      <c r="L466" t="s">
        <v>40</v>
      </c>
      <c r="M466" t="s">
        <v>72</v>
      </c>
      <c r="N466" s="8">
        <v>46272</v>
      </c>
      <c r="O466" s="8">
        <v>46286</v>
      </c>
      <c r="P466" t="s">
        <v>101</v>
      </c>
      <c r="Q466" s="8">
        <v>46290</v>
      </c>
      <c r="R466" t="s">
        <v>38</v>
      </c>
      <c r="S46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6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67" spans="1:20">
      <c r="A467" t="s">
        <v>897</v>
      </c>
      <c r="B467" t="s">
        <v>224</v>
      </c>
      <c r="C467" t="s">
        <v>58</v>
      </c>
      <c r="D467" t="s">
        <v>23</v>
      </c>
      <c r="E467" t="s">
        <v>216</v>
      </c>
      <c r="F467" t="s">
        <v>217</v>
      </c>
      <c r="G467" s="5">
        <v>9.1</v>
      </c>
      <c r="H467" s="7">
        <v>0.26400000000000001</v>
      </c>
      <c r="I467" s="5" t="s">
        <v>38</v>
      </c>
      <c r="J467" t="s">
        <v>110</v>
      </c>
      <c r="K467" t="s">
        <v>87</v>
      </c>
      <c r="L467" t="s">
        <v>99</v>
      </c>
      <c r="M467" t="s">
        <v>100</v>
      </c>
      <c r="N467" s="8">
        <v>46268</v>
      </c>
      <c r="O467" s="8">
        <v>46275</v>
      </c>
      <c r="P467" t="s">
        <v>50</v>
      </c>
      <c r="Q467" s="8"/>
      <c r="R467" t="s">
        <v>38</v>
      </c>
      <c r="S46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6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68" spans="1:20">
      <c r="A468" t="s">
        <v>898</v>
      </c>
      <c r="B468" t="s">
        <v>263</v>
      </c>
      <c r="C468" t="s">
        <v>79</v>
      </c>
      <c r="D468" t="s">
        <v>35</v>
      </c>
      <c r="E468" t="s">
        <v>47</v>
      </c>
      <c r="F468" t="s">
        <v>37</v>
      </c>
      <c r="G468" s="5">
        <v>10</v>
      </c>
      <c r="H468" s="7">
        <v>0.11600000000000001</v>
      </c>
      <c r="I468" s="5" t="s">
        <v>26</v>
      </c>
      <c r="J468" t="s">
        <v>27</v>
      </c>
      <c r="K468" t="s">
        <v>28</v>
      </c>
      <c r="L468" t="s">
        <v>75</v>
      </c>
      <c r="M468" t="s">
        <v>129</v>
      </c>
      <c r="N468" s="8">
        <v>46268</v>
      </c>
      <c r="O468" s="8">
        <v>46275</v>
      </c>
      <c r="P468" t="s">
        <v>42</v>
      </c>
      <c r="Q468" s="8"/>
      <c r="R468" t="s">
        <v>26</v>
      </c>
      <c r="S46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13</v>
      </c>
      <c r="T46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1</v>
      </c>
    </row>
    <row r="469" spans="1:20">
      <c r="A469" t="s">
        <v>899</v>
      </c>
      <c r="B469" t="s">
        <v>275</v>
      </c>
      <c r="C469" t="s">
        <v>79</v>
      </c>
      <c r="D469" t="s">
        <v>122</v>
      </c>
      <c r="E469" t="s">
        <v>119</v>
      </c>
      <c r="F469" t="s">
        <v>37</v>
      </c>
      <c r="G469" s="5">
        <v>7.8</v>
      </c>
      <c r="H469" s="7">
        <v>0.11600000000000001</v>
      </c>
      <c r="I469" s="5" t="s">
        <v>38</v>
      </c>
      <c r="J469" t="s">
        <v>110</v>
      </c>
      <c r="K469" t="s">
        <v>28</v>
      </c>
      <c r="L469" t="s">
        <v>99</v>
      </c>
      <c r="M469" t="s">
        <v>100</v>
      </c>
      <c r="N469" s="8">
        <v>46237</v>
      </c>
      <c r="O469" s="8">
        <v>46247</v>
      </c>
      <c r="P469" t="s">
        <v>42</v>
      </c>
      <c r="Q469" s="8"/>
      <c r="R469" t="s">
        <v>38</v>
      </c>
      <c r="S46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6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70" spans="1:20">
      <c r="A470" t="s">
        <v>900</v>
      </c>
      <c r="B470" t="s">
        <v>901</v>
      </c>
      <c r="C470" t="s">
        <v>34</v>
      </c>
      <c r="D470" t="s">
        <v>84</v>
      </c>
      <c r="E470" t="s">
        <v>119</v>
      </c>
      <c r="F470" t="s">
        <v>37</v>
      </c>
      <c r="G470" s="5">
        <v>7.8</v>
      </c>
      <c r="H470" s="7">
        <v>0.113</v>
      </c>
      <c r="I470" s="5" t="s">
        <v>38</v>
      </c>
      <c r="J470" t="s">
        <v>39</v>
      </c>
      <c r="K470" t="s">
        <v>28</v>
      </c>
      <c r="L470" t="s">
        <v>40</v>
      </c>
      <c r="M470" t="s">
        <v>41</v>
      </c>
      <c r="N470" s="8">
        <v>46241</v>
      </c>
      <c r="O470" s="8">
        <v>46255</v>
      </c>
      <c r="P470" t="s">
        <v>42</v>
      </c>
      <c r="Q470" s="8"/>
      <c r="R470" t="s">
        <v>38</v>
      </c>
      <c r="S47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7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71" spans="1:20">
      <c r="A471" t="s">
        <v>902</v>
      </c>
      <c r="B471" t="s">
        <v>903</v>
      </c>
      <c r="C471" t="s">
        <v>22</v>
      </c>
      <c r="D471" t="s">
        <v>122</v>
      </c>
      <c r="E471" t="s">
        <v>24</v>
      </c>
      <c r="F471" t="s">
        <v>25</v>
      </c>
      <c r="G471" s="5">
        <v>10</v>
      </c>
      <c r="H471" s="7">
        <v>0.111</v>
      </c>
      <c r="I471" s="5" t="s">
        <v>26</v>
      </c>
      <c r="J471" t="s">
        <v>110</v>
      </c>
      <c r="K471" t="s">
        <v>60</v>
      </c>
      <c r="L471" t="s">
        <v>80</v>
      </c>
      <c r="M471" t="s">
        <v>81</v>
      </c>
      <c r="N471" s="8">
        <v>46250</v>
      </c>
      <c r="O471" s="8">
        <v>46257</v>
      </c>
      <c r="P471" t="s">
        <v>42</v>
      </c>
      <c r="Q471" s="8"/>
      <c r="R471" t="s">
        <v>38</v>
      </c>
      <c r="S47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7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72" spans="1:20">
      <c r="A472" t="s">
        <v>904</v>
      </c>
      <c r="B472" t="s">
        <v>616</v>
      </c>
      <c r="C472" t="s">
        <v>34</v>
      </c>
      <c r="D472" t="s">
        <v>109</v>
      </c>
      <c r="E472" t="s">
        <v>116</v>
      </c>
      <c r="F472" t="s">
        <v>37</v>
      </c>
      <c r="G472" s="5">
        <v>8.1</v>
      </c>
      <c r="H472" s="7">
        <v>0.107</v>
      </c>
      <c r="I472" s="5" t="s">
        <v>26</v>
      </c>
      <c r="J472" t="s">
        <v>39</v>
      </c>
      <c r="K472" t="s">
        <v>87</v>
      </c>
      <c r="L472" t="s">
        <v>29</v>
      </c>
      <c r="M472" t="s">
        <v>65</v>
      </c>
      <c r="N472" s="8">
        <v>46265</v>
      </c>
      <c r="O472" s="8">
        <v>46279</v>
      </c>
      <c r="P472" t="s">
        <v>42</v>
      </c>
      <c r="Q472" s="8"/>
      <c r="R472" t="s">
        <v>38</v>
      </c>
      <c r="S47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7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73" spans="1:20">
      <c r="A473" t="s">
        <v>905</v>
      </c>
      <c r="B473" t="s">
        <v>906</v>
      </c>
      <c r="C473" t="s">
        <v>34</v>
      </c>
      <c r="D473" t="s">
        <v>84</v>
      </c>
      <c r="E473" t="s">
        <v>70</v>
      </c>
      <c r="F473" t="s">
        <v>71</v>
      </c>
      <c r="G473" s="5">
        <v>9.8000000000000007</v>
      </c>
      <c r="H473" s="7">
        <v>0.106</v>
      </c>
      <c r="I473" s="5" t="s">
        <v>26</v>
      </c>
      <c r="J473" t="s">
        <v>110</v>
      </c>
      <c r="K473" t="s">
        <v>28</v>
      </c>
      <c r="L473" t="s">
        <v>29</v>
      </c>
      <c r="M473" t="s">
        <v>65</v>
      </c>
      <c r="N473" s="8">
        <v>46241</v>
      </c>
      <c r="O473" s="8">
        <v>46248</v>
      </c>
      <c r="P473" t="s">
        <v>42</v>
      </c>
      <c r="Q473" s="8"/>
      <c r="R473" t="s">
        <v>38</v>
      </c>
      <c r="S47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7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74" spans="1:20">
      <c r="A474" t="s">
        <v>907</v>
      </c>
      <c r="B474" t="s">
        <v>341</v>
      </c>
      <c r="C474" t="s">
        <v>59</v>
      </c>
      <c r="D474" t="s">
        <v>63</v>
      </c>
      <c r="E474" t="s">
        <v>146</v>
      </c>
      <c r="F474" t="s">
        <v>147</v>
      </c>
      <c r="G474" s="5">
        <v>7.5</v>
      </c>
      <c r="H474" s="7">
        <v>0.28100000000000003</v>
      </c>
      <c r="I474" s="5" t="s">
        <v>38</v>
      </c>
      <c r="J474" t="s">
        <v>39</v>
      </c>
      <c r="K474" t="s">
        <v>60</v>
      </c>
      <c r="L474" t="s">
        <v>99</v>
      </c>
      <c r="M474" t="s">
        <v>100</v>
      </c>
      <c r="N474" s="8">
        <v>46265</v>
      </c>
      <c r="O474" s="8">
        <v>46279</v>
      </c>
      <c r="P474" t="s">
        <v>50</v>
      </c>
      <c r="Q474" s="8"/>
      <c r="R474" t="s">
        <v>38</v>
      </c>
      <c r="S47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7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75" spans="1:20">
      <c r="A475" t="s">
        <v>908</v>
      </c>
      <c r="B475" t="s">
        <v>171</v>
      </c>
      <c r="C475" t="s">
        <v>34</v>
      </c>
      <c r="D475" t="s">
        <v>84</v>
      </c>
      <c r="E475" t="s">
        <v>142</v>
      </c>
      <c r="F475" t="s">
        <v>71</v>
      </c>
      <c r="G475" s="5">
        <v>8.8000000000000007</v>
      </c>
      <c r="H475" s="7">
        <v>0.77900000000000003</v>
      </c>
      <c r="I475" s="5" t="s">
        <v>38</v>
      </c>
      <c r="J475" t="s">
        <v>39</v>
      </c>
      <c r="K475" t="s">
        <v>87</v>
      </c>
      <c r="L475" t="s">
        <v>29</v>
      </c>
      <c r="M475" t="s">
        <v>30</v>
      </c>
      <c r="N475" s="8">
        <v>46242</v>
      </c>
      <c r="O475" s="8">
        <v>46256</v>
      </c>
      <c r="P475" t="s">
        <v>50</v>
      </c>
      <c r="Q475" s="8"/>
      <c r="R475" t="s">
        <v>38</v>
      </c>
      <c r="S47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7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76" spans="1:20">
      <c r="A476" t="s">
        <v>909</v>
      </c>
      <c r="B476" t="s">
        <v>382</v>
      </c>
      <c r="C476" t="s">
        <v>34</v>
      </c>
      <c r="D476" t="s">
        <v>59</v>
      </c>
      <c r="E476" t="s">
        <v>146</v>
      </c>
      <c r="F476" t="s">
        <v>147</v>
      </c>
      <c r="G476" s="5">
        <v>7.5</v>
      </c>
      <c r="H476" s="7">
        <v>0.13700000000000001</v>
      </c>
      <c r="I476" s="5" t="s">
        <v>38</v>
      </c>
      <c r="J476" t="s">
        <v>110</v>
      </c>
      <c r="K476" t="s">
        <v>28</v>
      </c>
      <c r="L476" t="s">
        <v>54</v>
      </c>
      <c r="M476" t="s">
        <v>55</v>
      </c>
      <c r="N476" s="8">
        <v>46274</v>
      </c>
      <c r="O476" s="8">
        <v>46287</v>
      </c>
      <c r="P476" t="s">
        <v>31</v>
      </c>
      <c r="Q476" s="8">
        <v>46289</v>
      </c>
      <c r="R476" t="s">
        <v>38</v>
      </c>
      <c r="S47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7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77" spans="1:20">
      <c r="A477" t="s">
        <v>910</v>
      </c>
      <c r="B477" t="s">
        <v>911</v>
      </c>
      <c r="C477" t="s">
        <v>59</v>
      </c>
      <c r="D477" t="s">
        <v>46</v>
      </c>
      <c r="E477" t="s">
        <v>70</v>
      </c>
      <c r="F477" t="s">
        <v>71</v>
      </c>
      <c r="G477" s="5">
        <v>9.8000000000000007</v>
      </c>
      <c r="H477" s="7">
        <v>0.104</v>
      </c>
      <c r="I477" s="5" t="s">
        <v>38</v>
      </c>
      <c r="J477" t="s">
        <v>39</v>
      </c>
      <c r="K477" t="s">
        <v>87</v>
      </c>
      <c r="L477" t="s">
        <v>75</v>
      </c>
      <c r="M477" t="s">
        <v>129</v>
      </c>
      <c r="N477" s="8">
        <v>46260</v>
      </c>
      <c r="O477" s="8">
        <v>46267</v>
      </c>
      <c r="P477" t="s">
        <v>42</v>
      </c>
      <c r="Q477" s="8"/>
      <c r="R477" t="s">
        <v>38</v>
      </c>
      <c r="S47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7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78" spans="1:20">
      <c r="A478" t="s">
        <v>912</v>
      </c>
      <c r="B478" t="s">
        <v>913</v>
      </c>
      <c r="C478" t="s">
        <v>58</v>
      </c>
      <c r="D478" t="s">
        <v>46</v>
      </c>
      <c r="E478" t="s">
        <v>119</v>
      </c>
      <c r="F478" t="s">
        <v>37</v>
      </c>
      <c r="G478" s="5">
        <v>7.8</v>
      </c>
      <c r="H478" s="7">
        <v>7.4999999999999997E-2</v>
      </c>
      <c r="I478" s="5" t="s">
        <v>38</v>
      </c>
      <c r="J478" t="s">
        <v>110</v>
      </c>
      <c r="K478" t="s">
        <v>28</v>
      </c>
      <c r="L478" t="s">
        <v>80</v>
      </c>
      <c r="M478" t="s">
        <v>96</v>
      </c>
      <c r="N478" s="8">
        <v>46270</v>
      </c>
      <c r="O478" s="8">
        <v>46283</v>
      </c>
      <c r="P478" t="s">
        <v>31</v>
      </c>
      <c r="Q478" s="8">
        <v>46292</v>
      </c>
      <c r="R478" t="s">
        <v>38</v>
      </c>
      <c r="S47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7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79" spans="1:20">
      <c r="A479" t="s">
        <v>914</v>
      </c>
      <c r="B479" t="s">
        <v>915</v>
      </c>
      <c r="C479" t="s">
        <v>45</v>
      </c>
      <c r="D479" t="s">
        <v>23</v>
      </c>
      <c r="E479" t="s">
        <v>116</v>
      </c>
      <c r="F479" t="s">
        <v>37</v>
      </c>
      <c r="G479" s="5">
        <v>8.1</v>
      </c>
      <c r="H479" s="7">
        <v>0.104</v>
      </c>
      <c r="I479" s="5" t="s">
        <v>38</v>
      </c>
      <c r="J479" t="s">
        <v>39</v>
      </c>
      <c r="K479" t="s">
        <v>28</v>
      </c>
      <c r="L479" t="s">
        <v>99</v>
      </c>
      <c r="M479" t="s">
        <v>100</v>
      </c>
      <c r="N479" s="8">
        <v>46270</v>
      </c>
      <c r="O479" s="8">
        <v>46284</v>
      </c>
      <c r="P479" t="s">
        <v>42</v>
      </c>
      <c r="Q479" s="8"/>
      <c r="R479" t="s">
        <v>38</v>
      </c>
      <c r="S47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7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80" spans="1:20">
      <c r="A480" t="s">
        <v>916</v>
      </c>
      <c r="B480" t="s">
        <v>917</v>
      </c>
      <c r="C480" t="s">
        <v>34</v>
      </c>
      <c r="D480" t="s">
        <v>113</v>
      </c>
      <c r="E480" t="s">
        <v>70</v>
      </c>
      <c r="F480" t="s">
        <v>71</v>
      </c>
      <c r="G480" s="5">
        <v>9.8000000000000007</v>
      </c>
      <c r="H480" s="7">
        <v>0.124</v>
      </c>
      <c r="I480" s="5" t="s">
        <v>38</v>
      </c>
      <c r="J480" t="s">
        <v>39</v>
      </c>
      <c r="K480" t="s">
        <v>87</v>
      </c>
      <c r="L480" t="s">
        <v>29</v>
      </c>
      <c r="M480" t="s">
        <v>65</v>
      </c>
      <c r="N480" s="8">
        <v>46245</v>
      </c>
      <c r="O480" s="8">
        <v>46248</v>
      </c>
      <c r="P480" t="s">
        <v>91</v>
      </c>
      <c r="Q480" s="8"/>
      <c r="R480" t="s">
        <v>38</v>
      </c>
      <c r="S48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8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81" spans="1:20">
      <c r="A481" t="s">
        <v>918</v>
      </c>
      <c r="B481" t="s">
        <v>911</v>
      </c>
      <c r="C481" t="s">
        <v>59</v>
      </c>
      <c r="D481" t="s">
        <v>59</v>
      </c>
      <c r="E481" t="s">
        <v>146</v>
      </c>
      <c r="F481" t="s">
        <v>147</v>
      </c>
      <c r="G481" s="5">
        <v>7.9</v>
      </c>
      <c r="H481" s="7">
        <v>0.1</v>
      </c>
      <c r="I481" s="5" t="s">
        <v>38</v>
      </c>
      <c r="J481" t="s">
        <v>27</v>
      </c>
      <c r="K481" t="s">
        <v>87</v>
      </c>
      <c r="L481" t="s">
        <v>40</v>
      </c>
      <c r="M481" t="s">
        <v>41</v>
      </c>
      <c r="N481" s="8">
        <v>46271</v>
      </c>
      <c r="O481" s="8">
        <v>46285</v>
      </c>
      <c r="P481" t="s">
        <v>42</v>
      </c>
      <c r="Q481" s="8"/>
      <c r="R481" t="s">
        <v>26</v>
      </c>
      <c r="S48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8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82" spans="1:20">
      <c r="A482" t="s">
        <v>919</v>
      </c>
      <c r="B482" t="s">
        <v>920</v>
      </c>
      <c r="C482" t="s">
        <v>22</v>
      </c>
      <c r="D482" t="s">
        <v>46</v>
      </c>
      <c r="E482" t="s">
        <v>146</v>
      </c>
      <c r="F482" t="s">
        <v>147</v>
      </c>
      <c r="G482" s="5">
        <v>7.5</v>
      </c>
      <c r="H482" s="7">
        <v>9.7000000000000003E-2</v>
      </c>
      <c r="I482" s="5" t="s">
        <v>38</v>
      </c>
      <c r="J482" t="s">
        <v>39</v>
      </c>
      <c r="K482" t="s">
        <v>87</v>
      </c>
      <c r="L482" t="s">
        <v>40</v>
      </c>
      <c r="M482" t="s">
        <v>72</v>
      </c>
      <c r="N482" s="8">
        <v>46254</v>
      </c>
      <c r="O482" s="8">
        <v>46268</v>
      </c>
      <c r="P482" t="s">
        <v>42</v>
      </c>
      <c r="Q482" s="8"/>
      <c r="R482" t="s">
        <v>38</v>
      </c>
      <c r="S48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48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83" spans="1:20">
      <c r="A483" t="s">
        <v>921</v>
      </c>
      <c r="B483" t="s">
        <v>236</v>
      </c>
      <c r="C483" t="s">
        <v>59</v>
      </c>
      <c r="D483" t="s">
        <v>35</v>
      </c>
      <c r="E483" t="s">
        <v>64</v>
      </c>
      <c r="F483" t="s">
        <v>37</v>
      </c>
      <c r="G483" s="5">
        <v>9.8000000000000007</v>
      </c>
      <c r="H483" s="7">
        <v>9.6000000000000002E-2</v>
      </c>
      <c r="I483" s="5" t="s">
        <v>26</v>
      </c>
      <c r="J483" t="s">
        <v>39</v>
      </c>
      <c r="K483" t="s">
        <v>28</v>
      </c>
      <c r="L483" t="s">
        <v>80</v>
      </c>
      <c r="M483" t="s">
        <v>81</v>
      </c>
      <c r="N483" s="8">
        <v>46245</v>
      </c>
      <c r="O483" s="8">
        <v>46252</v>
      </c>
      <c r="P483" t="s">
        <v>42</v>
      </c>
      <c r="Q483" s="8"/>
      <c r="R483" t="s">
        <v>38</v>
      </c>
      <c r="S48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8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84" spans="1:20">
      <c r="A484" t="s">
        <v>922</v>
      </c>
      <c r="B484" t="s">
        <v>489</v>
      </c>
      <c r="C484" t="s">
        <v>45</v>
      </c>
      <c r="D484" t="s">
        <v>109</v>
      </c>
      <c r="E484" t="s">
        <v>201</v>
      </c>
      <c r="F484" t="s">
        <v>202</v>
      </c>
      <c r="G484" s="5">
        <v>9.8000000000000007</v>
      </c>
      <c r="H484" s="7">
        <v>9.1999999999999998E-2</v>
      </c>
      <c r="I484" s="5" t="s">
        <v>38</v>
      </c>
      <c r="J484" t="s">
        <v>39</v>
      </c>
      <c r="K484" t="s">
        <v>60</v>
      </c>
      <c r="L484" t="s">
        <v>80</v>
      </c>
      <c r="M484" t="s">
        <v>81</v>
      </c>
      <c r="N484" s="8">
        <v>46236</v>
      </c>
      <c r="O484" s="8">
        <v>46243</v>
      </c>
      <c r="P484" t="s">
        <v>42</v>
      </c>
      <c r="Q484" s="8"/>
      <c r="R484" t="s">
        <v>38</v>
      </c>
      <c r="S48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48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85" spans="1:20">
      <c r="A485" t="s">
        <v>923</v>
      </c>
      <c r="B485" t="s">
        <v>924</v>
      </c>
      <c r="C485" t="s">
        <v>34</v>
      </c>
      <c r="D485" t="s">
        <v>113</v>
      </c>
      <c r="E485" t="s">
        <v>24</v>
      </c>
      <c r="F485" t="s">
        <v>25</v>
      </c>
      <c r="G485" s="5">
        <v>10</v>
      </c>
      <c r="H485" s="7">
        <v>0.09</v>
      </c>
      <c r="I485" s="5" t="s">
        <v>38</v>
      </c>
      <c r="J485" t="s">
        <v>39</v>
      </c>
      <c r="K485" t="s">
        <v>28</v>
      </c>
      <c r="L485" t="s">
        <v>48</v>
      </c>
      <c r="M485" t="s">
        <v>132</v>
      </c>
      <c r="N485" s="8">
        <v>46250</v>
      </c>
      <c r="O485" s="8">
        <v>46257</v>
      </c>
      <c r="P485" t="s">
        <v>42</v>
      </c>
      <c r="Q485" s="8"/>
      <c r="R485" t="s">
        <v>38</v>
      </c>
      <c r="S48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48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486" spans="1:20">
      <c r="A486" t="s">
        <v>925</v>
      </c>
      <c r="B486" t="s">
        <v>806</v>
      </c>
      <c r="C486" t="s">
        <v>59</v>
      </c>
      <c r="D486" t="s">
        <v>59</v>
      </c>
      <c r="E486" t="s">
        <v>64</v>
      </c>
      <c r="F486" t="s">
        <v>37</v>
      </c>
      <c r="G486" s="5">
        <v>9.8000000000000007</v>
      </c>
      <c r="H486" s="7">
        <v>8.8999999999999996E-2</v>
      </c>
      <c r="I486" s="5" t="s">
        <v>26</v>
      </c>
      <c r="J486" t="s">
        <v>39</v>
      </c>
      <c r="K486" t="s">
        <v>28</v>
      </c>
      <c r="L486" t="s">
        <v>40</v>
      </c>
      <c r="M486" t="s">
        <v>72</v>
      </c>
      <c r="N486" s="8">
        <v>46275</v>
      </c>
      <c r="O486" s="8">
        <v>46282</v>
      </c>
      <c r="P486" t="s">
        <v>42</v>
      </c>
      <c r="Q486" s="8"/>
      <c r="R486" t="s">
        <v>38</v>
      </c>
      <c r="S48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48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487" spans="1:20">
      <c r="A487" t="s">
        <v>926</v>
      </c>
      <c r="B487" t="s">
        <v>927</v>
      </c>
      <c r="C487" t="s">
        <v>59</v>
      </c>
      <c r="D487" t="s">
        <v>23</v>
      </c>
      <c r="E487" t="s">
        <v>146</v>
      </c>
      <c r="F487" t="s">
        <v>147</v>
      </c>
      <c r="G487" s="5">
        <v>7.5</v>
      </c>
      <c r="H487" s="7">
        <v>8.1000000000000003E-2</v>
      </c>
      <c r="I487" s="5" t="s">
        <v>38</v>
      </c>
      <c r="J487" t="s">
        <v>39</v>
      </c>
      <c r="K487" t="s">
        <v>28</v>
      </c>
      <c r="L487" t="s">
        <v>48</v>
      </c>
      <c r="M487" t="s">
        <v>49</v>
      </c>
      <c r="N487" s="8">
        <v>46256</v>
      </c>
      <c r="O487" s="8">
        <v>46270</v>
      </c>
      <c r="P487" t="s">
        <v>50</v>
      </c>
      <c r="Q487" s="8"/>
      <c r="R487" t="s">
        <v>38</v>
      </c>
      <c r="S48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8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88" spans="1:20">
      <c r="A488" t="s">
        <v>928</v>
      </c>
      <c r="B488" t="s">
        <v>929</v>
      </c>
      <c r="C488" t="s">
        <v>34</v>
      </c>
      <c r="D488" t="s">
        <v>104</v>
      </c>
      <c r="E488" t="s">
        <v>201</v>
      </c>
      <c r="F488" t="s">
        <v>202</v>
      </c>
      <c r="G488" s="5">
        <v>9.8000000000000007</v>
      </c>
      <c r="H488" s="7">
        <v>0.17100000000000001</v>
      </c>
      <c r="I488" s="5" t="s">
        <v>38</v>
      </c>
      <c r="J488" t="s">
        <v>39</v>
      </c>
      <c r="K488" t="s">
        <v>87</v>
      </c>
      <c r="L488" t="s">
        <v>54</v>
      </c>
      <c r="M488" t="s">
        <v>55</v>
      </c>
      <c r="N488" s="8">
        <v>46238</v>
      </c>
      <c r="O488" s="8">
        <v>46245</v>
      </c>
      <c r="P488" t="s">
        <v>50</v>
      </c>
      <c r="Q488" s="8"/>
      <c r="R488" t="s">
        <v>38</v>
      </c>
      <c r="S48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8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89" spans="1:20">
      <c r="A489" t="s">
        <v>930</v>
      </c>
      <c r="B489" t="s">
        <v>931</v>
      </c>
      <c r="C489" t="s">
        <v>59</v>
      </c>
      <c r="D489" t="s">
        <v>104</v>
      </c>
      <c r="E489" t="s">
        <v>119</v>
      </c>
      <c r="F489" t="s">
        <v>37</v>
      </c>
      <c r="G489" s="5">
        <v>7.8</v>
      </c>
      <c r="H489" s="7">
        <v>0.41699999999999998</v>
      </c>
      <c r="I489" s="5" t="s">
        <v>38</v>
      </c>
      <c r="J489" t="s">
        <v>110</v>
      </c>
      <c r="K489" t="s">
        <v>60</v>
      </c>
      <c r="L489" t="s">
        <v>80</v>
      </c>
      <c r="M489" t="s">
        <v>96</v>
      </c>
      <c r="N489" s="8">
        <v>46237</v>
      </c>
      <c r="O489" s="8">
        <v>46251</v>
      </c>
      <c r="P489" t="s">
        <v>101</v>
      </c>
      <c r="Q489" s="8">
        <v>46267</v>
      </c>
      <c r="R489" t="s">
        <v>38</v>
      </c>
      <c r="S48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8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0" spans="1:20">
      <c r="A490" t="s">
        <v>932</v>
      </c>
      <c r="B490" t="s">
        <v>359</v>
      </c>
      <c r="C490" t="s">
        <v>34</v>
      </c>
      <c r="D490" t="s">
        <v>109</v>
      </c>
      <c r="E490" t="s">
        <v>216</v>
      </c>
      <c r="F490" t="s">
        <v>217</v>
      </c>
      <c r="G490" s="5">
        <v>9.1</v>
      </c>
      <c r="H490" s="7">
        <v>3.5999999999999997E-2</v>
      </c>
      <c r="I490" s="5" t="s">
        <v>38</v>
      </c>
      <c r="J490" t="s">
        <v>39</v>
      </c>
      <c r="K490" t="s">
        <v>28</v>
      </c>
      <c r="L490" t="s">
        <v>48</v>
      </c>
      <c r="M490" t="s">
        <v>132</v>
      </c>
      <c r="N490" s="8">
        <v>46258</v>
      </c>
      <c r="O490" s="8">
        <v>46265</v>
      </c>
      <c r="P490" t="s">
        <v>50</v>
      </c>
      <c r="Q490" s="8"/>
      <c r="R490" t="s">
        <v>38</v>
      </c>
      <c r="S49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1" spans="1:20">
      <c r="A491" t="s">
        <v>933</v>
      </c>
      <c r="B491" t="s">
        <v>881</v>
      </c>
      <c r="C491" t="s">
        <v>79</v>
      </c>
      <c r="D491" t="s">
        <v>59</v>
      </c>
      <c r="E491" t="s">
        <v>119</v>
      </c>
      <c r="F491" t="s">
        <v>37</v>
      </c>
      <c r="G491" s="5">
        <v>7.8</v>
      </c>
      <c r="H491" s="7">
        <v>0.13100000000000001</v>
      </c>
      <c r="I491" s="5" t="s">
        <v>38</v>
      </c>
      <c r="J491" t="s">
        <v>39</v>
      </c>
      <c r="K491" t="s">
        <v>28</v>
      </c>
      <c r="L491" t="s">
        <v>54</v>
      </c>
      <c r="M491" t="s">
        <v>55</v>
      </c>
      <c r="N491" s="8">
        <v>46244</v>
      </c>
      <c r="O491" s="8">
        <v>46258</v>
      </c>
      <c r="P491" t="s">
        <v>101</v>
      </c>
      <c r="Q491" s="8">
        <v>46255</v>
      </c>
      <c r="R491" t="s">
        <v>38</v>
      </c>
      <c r="S49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2" spans="1:20">
      <c r="A492" t="s">
        <v>934</v>
      </c>
      <c r="B492" t="s">
        <v>935</v>
      </c>
      <c r="C492" t="s">
        <v>34</v>
      </c>
      <c r="D492" t="s">
        <v>35</v>
      </c>
      <c r="E492" t="s">
        <v>142</v>
      </c>
      <c r="F492" t="s">
        <v>71</v>
      </c>
      <c r="G492" s="5">
        <v>8.8000000000000007</v>
      </c>
      <c r="H492" s="7">
        <v>0.156</v>
      </c>
      <c r="I492" s="5" t="s">
        <v>38</v>
      </c>
      <c r="J492" t="s">
        <v>39</v>
      </c>
      <c r="K492" t="s">
        <v>28</v>
      </c>
      <c r="L492" t="s">
        <v>80</v>
      </c>
      <c r="M492" t="s">
        <v>96</v>
      </c>
      <c r="N492" s="8">
        <v>46240</v>
      </c>
      <c r="O492" s="8">
        <v>46254</v>
      </c>
      <c r="P492" t="s">
        <v>91</v>
      </c>
      <c r="Q492" s="8"/>
      <c r="R492" t="s">
        <v>38</v>
      </c>
      <c r="S49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3" spans="1:20">
      <c r="A493" t="s">
        <v>936</v>
      </c>
      <c r="B493" t="s">
        <v>219</v>
      </c>
      <c r="C493" t="s">
        <v>58</v>
      </c>
      <c r="D493" t="s">
        <v>46</v>
      </c>
      <c r="E493" t="s">
        <v>119</v>
      </c>
      <c r="F493" t="s">
        <v>37</v>
      </c>
      <c r="G493" s="5">
        <v>7.8</v>
      </c>
      <c r="H493" s="7">
        <v>0.185</v>
      </c>
      <c r="I493" s="5" t="s">
        <v>38</v>
      </c>
      <c r="J493" t="s">
        <v>110</v>
      </c>
      <c r="K493" t="s">
        <v>28</v>
      </c>
      <c r="L493" t="s">
        <v>75</v>
      </c>
      <c r="M493" t="s">
        <v>76</v>
      </c>
      <c r="N493" s="8">
        <v>46258</v>
      </c>
      <c r="O493" s="8">
        <v>46272</v>
      </c>
      <c r="P493" t="s">
        <v>50</v>
      </c>
      <c r="Q493" s="8"/>
      <c r="R493" t="s">
        <v>38</v>
      </c>
      <c r="S49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4" spans="1:20">
      <c r="A494" t="s">
        <v>937</v>
      </c>
      <c r="B494" t="s">
        <v>98</v>
      </c>
      <c r="C494" t="s">
        <v>34</v>
      </c>
      <c r="D494" t="s">
        <v>53</v>
      </c>
      <c r="E494" t="s">
        <v>142</v>
      </c>
      <c r="F494" t="s">
        <v>71</v>
      </c>
      <c r="G494" s="5">
        <v>8.8000000000000007</v>
      </c>
      <c r="H494" s="7">
        <v>8.6999999999999994E-2</v>
      </c>
      <c r="I494" s="5" t="s">
        <v>38</v>
      </c>
      <c r="J494" t="s">
        <v>39</v>
      </c>
      <c r="K494" t="s">
        <v>60</v>
      </c>
      <c r="L494" t="s">
        <v>48</v>
      </c>
      <c r="M494" t="s">
        <v>132</v>
      </c>
      <c r="N494" s="8">
        <v>46271</v>
      </c>
      <c r="O494" s="8">
        <v>46285</v>
      </c>
      <c r="P494" t="s">
        <v>42</v>
      </c>
      <c r="Q494" s="8"/>
      <c r="R494" t="s">
        <v>38</v>
      </c>
      <c r="S49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49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495" spans="1:20">
      <c r="A495" t="s">
        <v>938</v>
      </c>
      <c r="B495" t="s">
        <v>906</v>
      </c>
      <c r="C495" t="s">
        <v>34</v>
      </c>
      <c r="D495" t="s">
        <v>46</v>
      </c>
      <c r="E495" t="s">
        <v>216</v>
      </c>
      <c r="F495" t="s">
        <v>217</v>
      </c>
      <c r="G495" s="5">
        <v>9.1</v>
      </c>
      <c r="H495" s="7">
        <v>0.46500000000000002</v>
      </c>
      <c r="I495" s="5" t="s">
        <v>38</v>
      </c>
      <c r="J495" t="s">
        <v>39</v>
      </c>
      <c r="K495" t="s">
        <v>87</v>
      </c>
      <c r="L495" t="s">
        <v>54</v>
      </c>
      <c r="M495" t="s">
        <v>55</v>
      </c>
      <c r="N495" s="8">
        <v>46274</v>
      </c>
      <c r="O495" s="8">
        <v>46281</v>
      </c>
      <c r="P495" t="s">
        <v>31</v>
      </c>
      <c r="Q495" s="8">
        <v>46295</v>
      </c>
      <c r="R495" t="s">
        <v>38</v>
      </c>
      <c r="S49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6" spans="1:20">
      <c r="A496" t="s">
        <v>939</v>
      </c>
      <c r="B496" t="s">
        <v>940</v>
      </c>
      <c r="C496" t="s">
        <v>45</v>
      </c>
      <c r="D496" t="s">
        <v>109</v>
      </c>
      <c r="E496" t="s">
        <v>146</v>
      </c>
      <c r="F496" t="s">
        <v>147</v>
      </c>
      <c r="G496" s="5">
        <v>7.5</v>
      </c>
      <c r="H496" s="7">
        <v>0.183</v>
      </c>
      <c r="I496" s="5" t="s">
        <v>38</v>
      </c>
      <c r="J496" t="s">
        <v>39</v>
      </c>
      <c r="K496" t="s">
        <v>28</v>
      </c>
      <c r="L496" t="s">
        <v>75</v>
      </c>
      <c r="M496" t="s">
        <v>76</v>
      </c>
      <c r="N496" s="8">
        <v>46253</v>
      </c>
      <c r="O496" s="8">
        <v>46267</v>
      </c>
      <c r="P496" t="s">
        <v>50</v>
      </c>
      <c r="Q496" s="8"/>
      <c r="R496" t="s">
        <v>38</v>
      </c>
      <c r="S49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7" spans="1:20">
      <c r="A497" t="s">
        <v>941</v>
      </c>
      <c r="B497" t="s">
        <v>431</v>
      </c>
      <c r="C497" t="s">
        <v>34</v>
      </c>
      <c r="D497" t="s">
        <v>109</v>
      </c>
      <c r="E497" t="s">
        <v>142</v>
      </c>
      <c r="F497" t="s">
        <v>71</v>
      </c>
      <c r="G497" s="5">
        <v>8.8000000000000007</v>
      </c>
      <c r="H497" s="7">
        <v>0.222</v>
      </c>
      <c r="I497" s="5" t="s">
        <v>38</v>
      </c>
      <c r="J497" t="s">
        <v>39</v>
      </c>
      <c r="K497" t="s">
        <v>60</v>
      </c>
      <c r="L497" t="s">
        <v>54</v>
      </c>
      <c r="M497" t="s">
        <v>55</v>
      </c>
      <c r="N497" s="8">
        <v>46253</v>
      </c>
      <c r="O497" s="8">
        <v>46267</v>
      </c>
      <c r="P497" t="s">
        <v>50</v>
      </c>
      <c r="Q497" s="8"/>
      <c r="R497" t="s">
        <v>38</v>
      </c>
      <c r="S49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8" spans="1:20">
      <c r="A498" t="s">
        <v>942</v>
      </c>
      <c r="B498" t="s">
        <v>580</v>
      </c>
      <c r="C498" t="s">
        <v>34</v>
      </c>
      <c r="D498" t="s">
        <v>84</v>
      </c>
      <c r="E498" t="s">
        <v>146</v>
      </c>
      <c r="F498" t="s">
        <v>147</v>
      </c>
      <c r="G498" s="5">
        <v>7.5</v>
      </c>
      <c r="H498" s="7">
        <v>0.11700000000000001</v>
      </c>
      <c r="I498" s="5" t="s">
        <v>38</v>
      </c>
      <c r="J498" t="s">
        <v>39</v>
      </c>
      <c r="K498" t="s">
        <v>28</v>
      </c>
      <c r="L498" t="s">
        <v>29</v>
      </c>
      <c r="M498" t="s">
        <v>30</v>
      </c>
      <c r="N498" s="8">
        <v>46242</v>
      </c>
      <c r="O498" s="8">
        <v>46256</v>
      </c>
      <c r="P498" t="s">
        <v>50</v>
      </c>
      <c r="Q498" s="8"/>
      <c r="R498" t="s">
        <v>38</v>
      </c>
      <c r="S49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49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499" spans="1:20">
      <c r="A499" t="s">
        <v>943</v>
      </c>
      <c r="B499" t="s">
        <v>944</v>
      </c>
      <c r="C499" t="s">
        <v>34</v>
      </c>
      <c r="D499" t="s">
        <v>90</v>
      </c>
      <c r="E499" t="s">
        <v>47</v>
      </c>
      <c r="F499" t="s">
        <v>37</v>
      </c>
      <c r="G499" s="5">
        <v>10</v>
      </c>
      <c r="H499" s="7">
        <v>8.5999999999999993E-2</v>
      </c>
      <c r="I499" s="5" t="s">
        <v>26</v>
      </c>
      <c r="J499" t="s">
        <v>39</v>
      </c>
      <c r="K499" t="s">
        <v>87</v>
      </c>
      <c r="L499" t="s">
        <v>48</v>
      </c>
      <c r="M499" t="s">
        <v>49</v>
      </c>
      <c r="N499" s="8">
        <v>46256</v>
      </c>
      <c r="O499" s="8">
        <v>46263</v>
      </c>
      <c r="P499" t="s">
        <v>42</v>
      </c>
      <c r="Q499" s="8"/>
      <c r="R499" t="s">
        <v>38</v>
      </c>
      <c r="S49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9</v>
      </c>
      <c r="T49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00" spans="1:20">
      <c r="A500" t="s">
        <v>945</v>
      </c>
      <c r="B500" t="s">
        <v>946</v>
      </c>
      <c r="C500" t="s">
        <v>45</v>
      </c>
      <c r="D500" t="s">
        <v>35</v>
      </c>
      <c r="E500" t="s">
        <v>47</v>
      </c>
      <c r="F500" t="s">
        <v>37</v>
      </c>
      <c r="G500" s="5">
        <v>10</v>
      </c>
      <c r="H500" s="7">
        <v>2.5999999999999999E-2</v>
      </c>
      <c r="I500" s="5" t="s">
        <v>38</v>
      </c>
      <c r="J500" t="s">
        <v>39</v>
      </c>
      <c r="K500" t="s">
        <v>87</v>
      </c>
      <c r="L500" t="s">
        <v>75</v>
      </c>
      <c r="M500" t="s">
        <v>129</v>
      </c>
      <c r="N500" s="8">
        <v>46275</v>
      </c>
      <c r="O500" s="8">
        <v>46282</v>
      </c>
      <c r="P500" t="s">
        <v>91</v>
      </c>
      <c r="Q500" s="8"/>
      <c r="R500" t="s">
        <v>38</v>
      </c>
      <c r="S50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0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01" spans="1:20">
      <c r="A501" t="s">
        <v>947</v>
      </c>
      <c r="B501" t="s">
        <v>948</v>
      </c>
      <c r="C501" t="s">
        <v>22</v>
      </c>
      <c r="D501" t="s">
        <v>59</v>
      </c>
      <c r="E501" t="s">
        <v>116</v>
      </c>
      <c r="F501" t="s">
        <v>37</v>
      </c>
      <c r="G501" s="5">
        <v>8.1</v>
      </c>
      <c r="H501" s="7">
        <v>8.4000000000000005E-2</v>
      </c>
      <c r="I501" s="5" t="s">
        <v>26</v>
      </c>
      <c r="J501" t="s">
        <v>110</v>
      </c>
      <c r="K501" t="s">
        <v>60</v>
      </c>
      <c r="L501" t="s">
        <v>40</v>
      </c>
      <c r="M501" t="s">
        <v>41</v>
      </c>
      <c r="N501" s="8">
        <v>46275</v>
      </c>
      <c r="O501" s="8">
        <v>46289</v>
      </c>
      <c r="P501" t="s">
        <v>42</v>
      </c>
      <c r="Q501" s="8"/>
      <c r="R501" t="s">
        <v>38</v>
      </c>
      <c r="S50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50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02" spans="1:20">
      <c r="A502" t="s">
        <v>949</v>
      </c>
      <c r="B502" t="s">
        <v>200</v>
      </c>
      <c r="C502" t="s">
        <v>22</v>
      </c>
      <c r="D502" t="s">
        <v>23</v>
      </c>
      <c r="E502" t="s">
        <v>119</v>
      </c>
      <c r="F502" t="s">
        <v>37</v>
      </c>
      <c r="G502" s="5">
        <v>7.8</v>
      </c>
      <c r="H502" s="7">
        <v>0.54600000000000004</v>
      </c>
      <c r="I502" s="5" t="s">
        <v>38</v>
      </c>
      <c r="J502" t="s">
        <v>39</v>
      </c>
      <c r="K502" t="s">
        <v>87</v>
      </c>
      <c r="L502" t="s">
        <v>99</v>
      </c>
      <c r="M502" t="s">
        <v>100</v>
      </c>
      <c r="N502" s="8">
        <v>46261</v>
      </c>
      <c r="O502" s="8">
        <v>46275</v>
      </c>
      <c r="P502" t="s">
        <v>101</v>
      </c>
      <c r="Q502" s="8">
        <v>46287</v>
      </c>
      <c r="R502" t="s">
        <v>38</v>
      </c>
      <c r="S50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0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03" spans="1:20">
      <c r="A503" t="s">
        <v>950</v>
      </c>
      <c r="B503" t="s">
        <v>951</v>
      </c>
      <c r="C503" t="s">
        <v>79</v>
      </c>
      <c r="D503" t="s">
        <v>113</v>
      </c>
      <c r="E503" t="s">
        <v>216</v>
      </c>
      <c r="F503" t="s">
        <v>217</v>
      </c>
      <c r="G503" s="5">
        <v>9.1</v>
      </c>
      <c r="H503" s="7">
        <v>0.03</v>
      </c>
      <c r="I503" s="5" t="s">
        <v>38</v>
      </c>
      <c r="J503" t="s">
        <v>39</v>
      </c>
      <c r="K503" t="s">
        <v>28</v>
      </c>
      <c r="L503" t="s">
        <v>29</v>
      </c>
      <c r="M503" t="s">
        <v>30</v>
      </c>
      <c r="N503" s="8">
        <v>46268</v>
      </c>
      <c r="O503" s="8">
        <v>46275</v>
      </c>
      <c r="P503" t="s">
        <v>101</v>
      </c>
      <c r="Q503" s="8">
        <v>46289</v>
      </c>
      <c r="R503" t="s">
        <v>38</v>
      </c>
      <c r="S50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0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04" spans="1:20">
      <c r="A504" t="s">
        <v>952</v>
      </c>
      <c r="B504" t="s">
        <v>953</v>
      </c>
      <c r="C504" t="s">
        <v>59</v>
      </c>
      <c r="D504" t="s">
        <v>63</v>
      </c>
      <c r="E504" t="s">
        <v>24</v>
      </c>
      <c r="F504" t="s">
        <v>25</v>
      </c>
      <c r="G504" s="5">
        <v>10</v>
      </c>
      <c r="H504" s="7">
        <v>8.3000000000000004E-2</v>
      </c>
      <c r="I504" s="5" t="s">
        <v>38</v>
      </c>
      <c r="J504" t="s">
        <v>110</v>
      </c>
      <c r="K504" t="s">
        <v>60</v>
      </c>
      <c r="L504" t="s">
        <v>80</v>
      </c>
      <c r="M504" t="s">
        <v>96</v>
      </c>
      <c r="N504" s="8">
        <v>46245</v>
      </c>
      <c r="O504" s="8">
        <v>46252</v>
      </c>
      <c r="P504" t="s">
        <v>42</v>
      </c>
      <c r="Q504" s="8"/>
      <c r="R504" t="s">
        <v>38</v>
      </c>
      <c r="S50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50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05" spans="1:20">
      <c r="A505" t="s">
        <v>954</v>
      </c>
      <c r="B505" t="s">
        <v>186</v>
      </c>
      <c r="C505" t="s">
        <v>79</v>
      </c>
      <c r="D505" t="s">
        <v>113</v>
      </c>
      <c r="E505" t="s">
        <v>70</v>
      </c>
      <c r="F505" t="s">
        <v>71</v>
      </c>
      <c r="G505" s="5">
        <v>9.8000000000000007</v>
      </c>
      <c r="H505" s="7">
        <v>8.3000000000000004E-2</v>
      </c>
      <c r="I505" s="5" t="s">
        <v>38</v>
      </c>
      <c r="J505" t="s">
        <v>39</v>
      </c>
      <c r="K505" t="s">
        <v>87</v>
      </c>
      <c r="L505" t="s">
        <v>48</v>
      </c>
      <c r="M505" t="s">
        <v>132</v>
      </c>
      <c r="N505" s="8">
        <v>46239</v>
      </c>
      <c r="O505" s="8">
        <v>46246</v>
      </c>
      <c r="P505" t="s">
        <v>42</v>
      </c>
      <c r="Q505" s="8"/>
      <c r="R505" t="s">
        <v>38</v>
      </c>
      <c r="S50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0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06" spans="1:20">
      <c r="A506" t="s">
        <v>955</v>
      </c>
      <c r="B506" t="s">
        <v>390</v>
      </c>
      <c r="C506" t="s">
        <v>45</v>
      </c>
      <c r="D506" t="s">
        <v>46</v>
      </c>
      <c r="E506" t="s">
        <v>119</v>
      </c>
      <c r="F506" t="s">
        <v>37</v>
      </c>
      <c r="G506" s="5">
        <v>7.8</v>
      </c>
      <c r="H506" s="7">
        <v>0.34799999999999998</v>
      </c>
      <c r="I506" s="5" t="s">
        <v>38</v>
      </c>
      <c r="J506" t="s">
        <v>39</v>
      </c>
      <c r="K506" t="s">
        <v>60</v>
      </c>
      <c r="L506" t="s">
        <v>29</v>
      </c>
      <c r="M506" t="s">
        <v>65</v>
      </c>
      <c r="N506" s="8">
        <v>46240</v>
      </c>
      <c r="O506" s="8">
        <v>46254</v>
      </c>
      <c r="P506" t="s">
        <v>31</v>
      </c>
      <c r="Q506" s="8">
        <v>46260</v>
      </c>
      <c r="R506" t="s">
        <v>38</v>
      </c>
      <c r="S50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0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07" spans="1:20">
      <c r="A507" t="s">
        <v>956</v>
      </c>
      <c r="B507" t="s">
        <v>419</v>
      </c>
      <c r="C507" t="s">
        <v>59</v>
      </c>
      <c r="D507" t="s">
        <v>104</v>
      </c>
      <c r="E507" t="s">
        <v>146</v>
      </c>
      <c r="F507" t="s">
        <v>147</v>
      </c>
      <c r="G507" s="5">
        <v>7.5</v>
      </c>
      <c r="H507" s="7">
        <v>0.38900000000000001</v>
      </c>
      <c r="I507" s="5" t="s">
        <v>38</v>
      </c>
      <c r="J507" t="s">
        <v>39</v>
      </c>
      <c r="K507" t="s">
        <v>60</v>
      </c>
      <c r="L507" t="s">
        <v>80</v>
      </c>
      <c r="M507" t="s">
        <v>96</v>
      </c>
      <c r="N507" s="8">
        <v>46259</v>
      </c>
      <c r="O507" s="8">
        <v>46273</v>
      </c>
      <c r="P507" t="s">
        <v>31</v>
      </c>
      <c r="Q507" s="8">
        <v>46270</v>
      </c>
      <c r="R507" t="s">
        <v>38</v>
      </c>
      <c r="S50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0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08" spans="1:20">
      <c r="A508" t="s">
        <v>957</v>
      </c>
      <c r="B508" t="s">
        <v>601</v>
      </c>
      <c r="C508" t="s">
        <v>22</v>
      </c>
      <c r="D508" t="s">
        <v>35</v>
      </c>
      <c r="E508" t="s">
        <v>142</v>
      </c>
      <c r="F508" t="s">
        <v>71</v>
      </c>
      <c r="G508" s="5">
        <v>9.1999999999999993</v>
      </c>
      <c r="H508" s="7">
        <v>8.2000000000000003E-2</v>
      </c>
      <c r="I508" s="5" t="s">
        <v>38</v>
      </c>
      <c r="J508" t="s">
        <v>27</v>
      </c>
      <c r="K508" t="s">
        <v>28</v>
      </c>
      <c r="L508" t="s">
        <v>75</v>
      </c>
      <c r="M508" t="s">
        <v>129</v>
      </c>
      <c r="N508" s="8">
        <v>46273</v>
      </c>
      <c r="O508" s="8">
        <v>46280</v>
      </c>
      <c r="P508" t="s">
        <v>42</v>
      </c>
      <c r="Q508" s="8"/>
      <c r="R508" t="s">
        <v>26</v>
      </c>
      <c r="S50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50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09" spans="1:20">
      <c r="A509" t="s">
        <v>958</v>
      </c>
      <c r="B509" t="s">
        <v>759</v>
      </c>
      <c r="C509" t="s">
        <v>45</v>
      </c>
      <c r="D509" t="s">
        <v>23</v>
      </c>
      <c r="E509" t="s">
        <v>142</v>
      </c>
      <c r="F509" t="s">
        <v>71</v>
      </c>
      <c r="G509" s="5">
        <v>8.8000000000000007</v>
      </c>
      <c r="H509" s="7">
        <v>8.2000000000000003E-2</v>
      </c>
      <c r="I509" s="5" t="s">
        <v>38</v>
      </c>
      <c r="J509" t="s">
        <v>39</v>
      </c>
      <c r="K509" t="s">
        <v>60</v>
      </c>
      <c r="L509" t="s">
        <v>29</v>
      </c>
      <c r="M509" t="s">
        <v>30</v>
      </c>
      <c r="N509" s="8">
        <v>46244</v>
      </c>
      <c r="O509" s="8">
        <v>46254</v>
      </c>
      <c r="P509" t="s">
        <v>42</v>
      </c>
      <c r="Q509" s="8"/>
      <c r="R509" t="s">
        <v>38</v>
      </c>
      <c r="S50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0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10" spans="1:20">
      <c r="A510" t="s">
        <v>959</v>
      </c>
      <c r="B510" t="s">
        <v>960</v>
      </c>
      <c r="C510" t="s">
        <v>79</v>
      </c>
      <c r="D510" t="s">
        <v>63</v>
      </c>
      <c r="E510" t="s">
        <v>142</v>
      </c>
      <c r="F510" t="s">
        <v>71</v>
      </c>
      <c r="G510" s="5">
        <v>8.8000000000000007</v>
      </c>
      <c r="H510" s="7">
        <v>0.374</v>
      </c>
      <c r="I510" s="5" t="s">
        <v>38</v>
      </c>
      <c r="J510" t="s">
        <v>39</v>
      </c>
      <c r="K510" t="s">
        <v>60</v>
      </c>
      <c r="L510" t="s">
        <v>75</v>
      </c>
      <c r="M510" t="s">
        <v>76</v>
      </c>
      <c r="N510" s="8">
        <v>46242</v>
      </c>
      <c r="O510" s="8">
        <v>46256</v>
      </c>
      <c r="P510" t="s">
        <v>31</v>
      </c>
      <c r="Q510" s="8">
        <v>46259</v>
      </c>
      <c r="R510" t="s">
        <v>38</v>
      </c>
      <c r="S51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11" spans="1:20">
      <c r="A511" t="s">
        <v>961</v>
      </c>
      <c r="B511" t="s">
        <v>52</v>
      </c>
      <c r="C511" t="s">
        <v>22</v>
      </c>
      <c r="D511" t="s">
        <v>84</v>
      </c>
      <c r="E511" t="s">
        <v>125</v>
      </c>
      <c r="F511" t="s">
        <v>126</v>
      </c>
      <c r="G511" s="5">
        <v>8.6</v>
      </c>
      <c r="H511" s="7">
        <v>0.38100000000000001</v>
      </c>
      <c r="I511" s="5" t="s">
        <v>38</v>
      </c>
      <c r="J511" t="s">
        <v>110</v>
      </c>
      <c r="K511" t="s">
        <v>60</v>
      </c>
      <c r="L511" t="s">
        <v>48</v>
      </c>
      <c r="M511" t="s">
        <v>49</v>
      </c>
      <c r="N511" s="8">
        <v>46238</v>
      </c>
      <c r="O511" s="8">
        <v>46252</v>
      </c>
      <c r="P511" t="s">
        <v>31</v>
      </c>
      <c r="Q511" s="8">
        <v>46257</v>
      </c>
      <c r="R511" t="s">
        <v>38</v>
      </c>
      <c r="S51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12" spans="1:20">
      <c r="A512" t="s">
        <v>962</v>
      </c>
      <c r="B512" t="s">
        <v>357</v>
      </c>
      <c r="C512" t="s">
        <v>45</v>
      </c>
      <c r="D512" t="s">
        <v>59</v>
      </c>
      <c r="E512" t="s">
        <v>146</v>
      </c>
      <c r="F512" t="s">
        <v>147</v>
      </c>
      <c r="G512" s="5">
        <v>7.5</v>
      </c>
      <c r="H512" s="7">
        <v>0.33500000000000002</v>
      </c>
      <c r="I512" s="5" t="s">
        <v>38</v>
      </c>
      <c r="J512" t="s">
        <v>110</v>
      </c>
      <c r="K512" t="s">
        <v>60</v>
      </c>
      <c r="L512" t="s">
        <v>54</v>
      </c>
      <c r="M512" t="s">
        <v>55</v>
      </c>
      <c r="N512" s="8">
        <v>46252</v>
      </c>
      <c r="O512" s="8">
        <v>46266</v>
      </c>
      <c r="P512" t="s">
        <v>50</v>
      </c>
      <c r="Q512" s="8"/>
      <c r="R512" t="s">
        <v>38</v>
      </c>
      <c r="S51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13" spans="1:20">
      <c r="A513" t="s">
        <v>963</v>
      </c>
      <c r="B513" t="s">
        <v>287</v>
      </c>
      <c r="C513" t="s">
        <v>22</v>
      </c>
      <c r="D513" t="s">
        <v>23</v>
      </c>
      <c r="E513" t="s">
        <v>119</v>
      </c>
      <c r="F513" t="s">
        <v>37</v>
      </c>
      <c r="G513" s="5">
        <v>7.8</v>
      </c>
      <c r="H513" s="7">
        <v>8.1000000000000003E-2</v>
      </c>
      <c r="I513" s="5" t="s">
        <v>38</v>
      </c>
      <c r="J513" t="s">
        <v>39</v>
      </c>
      <c r="K513" t="s">
        <v>28</v>
      </c>
      <c r="L513" t="s">
        <v>48</v>
      </c>
      <c r="M513" t="s">
        <v>132</v>
      </c>
      <c r="N513" s="8">
        <v>46269</v>
      </c>
      <c r="O513" s="8">
        <v>46283</v>
      </c>
      <c r="P513" t="s">
        <v>42</v>
      </c>
      <c r="Q513" s="8"/>
      <c r="R513" t="s">
        <v>38</v>
      </c>
      <c r="S51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14" spans="1:20">
      <c r="A514" t="s">
        <v>964</v>
      </c>
      <c r="B514" t="s">
        <v>500</v>
      </c>
      <c r="C514" t="s">
        <v>34</v>
      </c>
      <c r="D514" t="s">
        <v>63</v>
      </c>
      <c r="E514" t="s">
        <v>146</v>
      </c>
      <c r="F514" t="s">
        <v>147</v>
      </c>
      <c r="G514" s="5">
        <v>7.5</v>
      </c>
      <c r="H514" s="7">
        <v>8.1000000000000003E-2</v>
      </c>
      <c r="I514" s="5" t="s">
        <v>38</v>
      </c>
      <c r="J514" t="s">
        <v>39</v>
      </c>
      <c r="K514" t="s">
        <v>87</v>
      </c>
      <c r="L514" t="s">
        <v>75</v>
      </c>
      <c r="M514" t="s">
        <v>76</v>
      </c>
      <c r="N514" s="8">
        <v>46267</v>
      </c>
      <c r="O514" s="8">
        <v>46281</v>
      </c>
      <c r="P514" t="s">
        <v>42</v>
      </c>
      <c r="Q514" s="8"/>
      <c r="R514" t="s">
        <v>38</v>
      </c>
      <c r="S51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1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15" spans="1:20">
      <c r="A515" t="s">
        <v>965</v>
      </c>
      <c r="B515" t="s">
        <v>966</v>
      </c>
      <c r="C515" t="s">
        <v>22</v>
      </c>
      <c r="D515" t="s">
        <v>104</v>
      </c>
      <c r="E515" t="s">
        <v>119</v>
      </c>
      <c r="F515" t="s">
        <v>37</v>
      </c>
      <c r="G515" s="5">
        <v>7.8</v>
      </c>
      <c r="H515" s="7">
        <v>0.105</v>
      </c>
      <c r="I515" s="5" t="s">
        <v>38</v>
      </c>
      <c r="J515" t="s">
        <v>110</v>
      </c>
      <c r="K515" t="s">
        <v>28</v>
      </c>
      <c r="L515" t="s">
        <v>75</v>
      </c>
      <c r="M515" t="s">
        <v>76</v>
      </c>
      <c r="N515" s="8">
        <v>46239</v>
      </c>
      <c r="O515" s="8">
        <v>46253</v>
      </c>
      <c r="P515" t="s">
        <v>31</v>
      </c>
      <c r="Q515" s="8">
        <v>46241</v>
      </c>
      <c r="R515" t="s">
        <v>38</v>
      </c>
      <c r="S51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16" spans="1:20">
      <c r="A516" t="s">
        <v>967</v>
      </c>
      <c r="B516" t="s">
        <v>671</v>
      </c>
      <c r="C516" t="s">
        <v>22</v>
      </c>
      <c r="D516" t="s">
        <v>104</v>
      </c>
      <c r="E516" t="s">
        <v>142</v>
      </c>
      <c r="F516" t="s">
        <v>71</v>
      </c>
      <c r="G516" s="5">
        <v>8.8000000000000007</v>
      </c>
      <c r="H516" s="7">
        <v>9.1999999999999998E-2</v>
      </c>
      <c r="I516" s="5" t="s">
        <v>38</v>
      </c>
      <c r="J516" t="s">
        <v>110</v>
      </c>
      <c r="K516" t="s">
        <v>28</v>
      </c>
      <c r="L516" t="s">
        <v>99</v>
      </c>
      <c r="M516" t="s">
        <v>100</v>
      </c>
      <c r="N516" s="8">
        <v>46242</v>
      </c>
      <c r="O516" s="8">
        <v>46256</v>
      </c>
      <c r="P516" t="s">
        <v>101</v>
      </c>
      <c r="Q516" s="8">
        <v>46268</v>
      </c>
      <c r="R516" t="s">
        <v>38</v>
      </c>
      <c r="S51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17" spans="1:20">
      <c r="A517" t="s">
        <v>968</v>
      </c>
      <c r="B517" t="s">
        <v>969</v>
      </c>
      <c r="C517" t="s">
        <v>34</v>
      </c>
      <c r="D517" t="s">
        <v>59</v>
      </c>
      <c r="E517" t="s">
        <v>146</v>
      </c>
      <c r="F517" t="s">
        <v>147</v>
      </c>
      <c r="G517" s="5">
        <v>7.5</v>
      </c>
      <c r="H517" s="7">
        <v>0.08</v>
      </c>
      <c r="I517" s="5" t="s">
        <v>38</v>
      </c>
      <c r="J517" t="s">
        <v>110</v>
      </c>
      <c r="K517" t="s">
        <v>28</v>
      </c>
      <c r="L517" t="s">
        <v>40</v>
      </c>
      <c r="M517" t="s">
        <v>72</v>
      </c>
      <c r="N517" s="8">
        <v>46259</v>
      </c>
      <c r="O517" s="8">
        <v>46273</v>
      </c>
      <c r="P517" t="s">
        <v>42</v>
      </c>
      <c r="Q517" s="8"/>
      <c r="R517" t="s">
        <v>38</v>
      </c>
      <c r="S51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18" spans="1:20">
      <c r="A518" t="s">
        <v>970</v>
      </c>
      <c r="B518" t="s">
        <v>971</v>
      </c>
      <c r="C518" t="s">
        <v>22</v>
      </c>
      <c r="D518" t="s">
        <v>53</v>
      </c>
      <c r="E518" t="s">
        <v>125</v>
      </c>
      <c r="F518" t="s">
        <v>126</v>
      </c>
      <c r="G518" s="5">
        <v>8.6</v>
      </c>
      <c r="H518" s="7">
        <v>0.16</v>
      </c>
      <c r="I518" s="5" t="s">
        <v>38</v>
      </c>
      <c r="J518" t="s">
        <v>39</v>
      </c>
      <c r="K518" t="s">
        <v>28</v>
      </c>
      <c r="L518" t="s">
        <v>80</v>
      </c>
      <c r="M518" t="s">
        <v>96</v>
      </c>
      <c r="N518" s="8">
        <v>46262</v>
      </c>
      <c r="O518" s="8">
        <v>46275</v>
      </c>
      <c r="P518" t="s">
        <v>91</v>
      </c>
      <c r="Q518" s="8"/>
      <c r="R518" t="s">
        <v>38</v>
      </c>
      <c r="S51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1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19" spans="1:20">
      <c r="A519" t="s">
        <v>972</v>
      </c>
      <c r="B519" t="s">
        <v>973</v>
      </c>
      <c r="C519" t="s">
        <v>59</v>
      </c>
      <c r="D519" t="s">
        <v>59</v>
      </c>
      <c r="E519" t="s">
        <v>119</v>
      </c>
      <c r="F519" t="s">
        <v>37</v>
      </c>
      <c r="G519" s="5">
        <v>7.8</v>
      </c>
      <c r="H519" s="7">
        <v>0.08</v>
      </c>
      <c r="I519" s="5" t="s">
        <v>38</v>
      </c>
      <c r="J519" t="s">
        <v>39</v>
      </c>
      <c r="K519" t="s">
        <v>87</v>
      </c>
      <c r="L519" t="s">
        <v>48</v>
      </c>
      <c r="M519" t="s">
        <v>49</v>
      </c>
      <c r="N519" s="8">
        <v>46240</v>
      </c>
      <c r="O519" s="8">
        <v>46254</v>
      </c>
      <c r="P519" t="s">
        <v>42</v>
      </c>
      <c r="Q519" s="8"/>
      <c r="R519" t="s">
        <v>38</v>
      </c>
      <c r="S51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1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20" spans="1:20">
      <c r="A520" t="s">
        <v>974</v>
      </c>
      <c r="B520" t="s">
        <v>155</v>
      </c>
      <c r="C520" t="s">
        <v>58</v>
      </c>
      <c r="D520" t="s">
        <v>122</v>
      </c>
      <c r="E520" t="s">
        <v>70</v>
      </c>
      <c r="F520" t="s">
        <v>71</v>
      </c>
      <c r="G520" s="5">
        <v>9.8000000000000007</v>
      </c>
      <c r="H520" s="7">
        <v>7.9000000000000001E-2</v>
      </c>
      <c r="I520" s="5" t="s">
        <v>38</v>
      </c>
      <c r="J520" t="s">
        <v>39</v>
      </c>
      <c r="K520" t="s">
        <v>28</v>
      </c>
      <c r="L520" t="s">
        <v>75</v>
      </c>
      <c r="M520" t="s">
        <v>129</v>
      </c>
      <c r="N520" s="8">
        <v>46240</v>
      </c>
      <c r="O520" s="8">
        <v>46247</v>
      </c>
      <c r="P520" t="s">
        <v>42</v>
      </c>
      <c r="Q520" s="8"/>
      <c r="R520" t="s">
        <v>38</v>
      </c>
      <c r="S52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52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21" spans="1:20">
      <c r="A521" t="s">
        <v>975</v>
      </c>
      <c r="B521" t="s">
        <v>234</v>
      </c>
      <c r="C521" t="s">
        <v>58</v>
      </c>
      <c r="D521" t="s">
        <v>84</v>
      </c>
      <c r="E521" t="s">
        <v>146</v>
      </c>
      <c r="F521" t="s">
        <v>147</v>
      </c>
      <c r="G521" s="5">
        <v>7.5</v>
      </c>
      <c r="H521" s="7">
        <v>7.3999999999999996E-2</v>
      </c>
      <c r="I521" s="5" t="s">
        <v>38</v>
      </c>
      <c r="J521" t="s">
        <v>39</v>
      </c>
      <c r="K521" t="s">
        <v>60</v>
      </c>
      <c r="L521" t="s">
        <v>48</v>
      </c>
      <c r="M521" t="s">
        <v>49</v>
      </c>
      <c r="N521" s="8">
        <v>46267</v>
      </c>
      <c r="O521" s="8">
        <v>46277</v>
      </c>
      <c r="P521" t="s">
        <v>42</v>
      </c>
      <c r="Q521" s="8"/>
      <c r="R521" t="s">
        <v>38</v>
      </c>
      <c r="S52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2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22" spans="1:20">
      <c r="A522" t="s">
        <v>976</v>
      </c>
      <c r="B522" t="s">
        <v>977</v>
      </c>
      <c r="C522" t="s">
        <v>58</v>
      </c>
      <c r="D522" t="s">
        <v>84</v>
      </c>
      <c r="E522" t="s">
        <v>116</v>
      </c>
      <c r="F522" t="s">
        <v>37</v>
      </c>
      <c r="G522" s="5">
        <v>8.1</v>
      </c>
      <c r="H522" s="7">
        <v>0.192</v>
      </c>
      <c r="I522" s="5" t="s">
        <v>38</v>
      </c>
      <c r="J522" t="s">
        <v>27</v>
      </c>
      <c r="K522" t="s">
        <v>87</v>
      </c>
      <c r="L522" t="s">
        <v>80</v>
      </c>
      <c r="M522" t="s">
        <v>81</v>
      </c>
      <c r="N522" s="8">
        <v>46252</v>
      </c>
      <c r="O522" s="8">
        <v>46266</v>
      </c>
      <c r="P522" t="s">
        <v>31</v>
      </c>
      <c r="Q522" s="8">
        <v>46263</v>
      </c>
      <c r="R522" t="s">
        <v>26</v>
      </c>
      <c r="S52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23" spans="1:20">
      <c r="A523" t="s">
        <v>978</v>
      </c>
      <c r="B523" t="s">
        <v>756</v>
      </c>
      <c r="C523" t="s">
        <v>79</v>
      </c>
      <c r="D523" t="s">
        <v>122</v>
      </c>
      <c r="E523" t="s">
        <v>216</v>
      </c>
      <c r="F523" t="s">
        <v>217</v>
      </c>
      <c r="G523" s="5">
        <v>9.1</v>
      </c>
      <c r="H523" s="7">
        <v>7.1999999999999995E-2</v>
      </c>
      <c r="I523" s="5" t="s">
        <v>38</v>
      </c>
      <c r="J523" t="s">
        <v>39</v>
      </c>
      <c r="K523" t="s">
        <v>60</v>
      </c>
      <c r="L523" t="s">
        <v>80</v>
      </c>
      <c r="M523" t="s">
        <v>81</v>
      </c>
      <c r="N523" s="8">
        <v>46256</v>
      </c>
      <c r="O523" s="8">
        <v>46263</v>
      </c>
      <c r="P523" t="s">
        <v>42</v>
      </c>
      <c r="Q523" s="8"/>
      <c r="R523" t="s">
        <v>38</v>
      </c>
      <c r="S52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24" spans="1:20">
      <c r="A524" t="s">
        <v>979</v>
      </c>
      <c r="B524" t="s">
        <v>759</v>
      </c>
      <c r="C524" t="s">
        <v>45</v>
      </c>
      <c r="D524" t="s">
        <v>53</v>
      </c>
      <c r="E524" t="s">
        <v>146</v>
      </c>
      <c r="F524" t="s">
        <v>147</v>
      </c>
      <c r="G524" s="5">
        <v>7.5</v>
      </c>
      <c r="H524" s="7">
        <v>7.0999999999999994E-2</v>
      </c>
      <c r="I524" s="5" t="s">
        <v>38</v>
      </c>
      <c r="J524" t="s">
        <v>39</v>
      </c>
      <c r="K524" t="s">
        <v>28</v>
      </c>
      <c r="L524" t="s">
        <v>40</v>
      </c>
      <c r="M524" t="s">
        <v>41</v>
      </c>
      <c r="N524" s="8">
        <v>46249</v>
      </c>
      <c r="O524" s="8">
        <v>46263</v>
      </c>
      <c r="P524" t="s">
        <v>42</v>
      </c>
      <c r="Q524" s="8"/>
      <c r="R524" t="s">
        <v>38</v>
      </c>
      <c r="S52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25" spans="1:20">
      <c r="A525" t="s">
        <v>980</v>
      </c>
      <c r="B525" t="s">
        <v>981</v>
      </c>
      <c r="C525" t="s">
        <v>45</v>
      </c>
      <c r="D525" t="s">
        <v>109</v>
      </c>
      <c r="E525" t="s">
        <v>125</v>
      </c>
      <c r="F525" t="s">
        <v>126</v>
      </c>
      <c r="G525" s="5">
        <v>8.6</v>
      </c>
      <c r="H525" s="7">
        <v>0.156</v>
      </c>
      <c r="I525" s="5" t="s">
        <v>38</v>
      </c>
      <c r="J525" t="s">
        <v>39</v>
      </c>
      <c r="K525" t="s">
        <v>28</v>
      </c>
      <c r="L525" t="s">
        <v>54</v>
      </c>
      <c r="M525" t="s">
        <v>55</v>
      </c>
      <c r="N525" s="8">
        <v>46255</v>
      </c>
      <c r="O525" s="8">
        <v>46268</v>
      </c>
      <c r="P525" t="s">
        <v>31</v>
      </c>
      <c r="Q525" s="8">
        <v>46278</v>
      </c>
      <c r="R525" t="s">
        <v>38</v>
      </c>
      <c r="S52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26" spans="1:20">
      <c r="A526" t="s">
        <v>982</v>
      </c>
      <c r="B526" t="s">
        <v>983</v>
      </c>
      <c r="C526" t="s">
        <v>79</v>
      </c>
      <c r="D526" t="s">
        <v>109</v>
      </c>
      <c r="E526" t="s">
        <v>119</v>
      </c>
      <c r="F526" t="s">
        <v>37</v>
      </c>
      <c r="G526" s="5">
        <v>7.8</v>
      </c>
      <c r="H526" s="7">
        <v>7.0000000000000007E-2</v>
      </c>
      <c r="I526" s="5" t="s">
        <v>38</v>
      </c>
      <c r="J526" t="s">
        <v>39</v>
      </c>
      <c r="K526" t="s">
        <v>28</v>
      </c>
      <c r="L526" t="s">
        <v>29</v>
      </c>
      <c r="M526" t="s">
        <v>65</v>
      </c>
      <c r="N526" s="8">
        <v>46251</v>
      </c>
      <c r="O526" s="8">
        <v>46263</v>
      </c>
      <c r="P526" t="s">
        <v>42</v>
      </c>
      <c r="Q526" s="8"/>
      <c r="R526" t="s">
        <v>38</v>
      </c>
      <c r="S52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27" spans="1:20">
      <c r="A527" t="s">
        <v>984</v>
      </c>
      <c r="B527" t="s">
        <v>985</v>
      </c>
      <c r="C527" t="s">
        <v>79</v>
      </c>
      <c r="D527" t="s">
        <v>53</v>
      </c>
      <c r="E527" t="s">
        <v>125</v>
      </c>
      <c r="F527" t="s">
        <v>126</v>
      </c>
      <c r="G527" s="5">
        <v>8.6</v>
      </c>
      <c r="H527" s="7">
        <v>6.0999999999999999E-2</v>
      </c>
      <c r="I527" s="5" t="s">
        <v>38</v>
      </c>
      <c r="J527" t="s">
        <v>39</v>
      </c>
      <c r="K527" t="s">
        <v>28</v>
      </c>
      <c r="L527" t="s">
        <v>80</v>
      </c>
      <c r="M527" t="s">
        <v>81</v>
      </c>
      <c r="N527" s="8">
        <v>46238</v>
      </c>
      <c r="O527" s="8">
        <v>46252</v>
      </c>
      <c r="P527" t="s">
        <v>31</v>
      </c>
      <c r="Q527" s="8">
        <v>46271</v>
      </c>
      <c r="R527" t="s">
        <v>38</v>
      </c>
      <c r="S52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28" spans="1:20">
      <c r="A528" t="s">
        <v>986</v>
      </c>
      <c r="B528" t="s">
        <v>977</v>
      </c>
      <c r="C528" t="s">
        <v>58</v>
      </c>
      <c r="D528" t="s">
        <v>84</v>
      </c>
      <c r="E528" t="s">
        <v>216</v>
      </c>
      <c r="F528" t="s">
        <v>217</v>
      </c>
      <c r="G528" s="5">
        <v>9.1</v>
      </c>
      <c r="H528" s="7">
        <v>8.5999999999999993E-2</v>
      </c>
      <c r="I528" s="5" t="s">
        <v>38</v>
      </c>
      <c r="J528" t="s">
        <v>39</v>
      </c>
      <c r="K528" t="s">
        <v>60</v>
      </c>
      <c r="L528" t="s">
        <v>40</v>
      </c>
      <c r="M528" t="s">
        <v>72</v>
      </c>
      <c r="N528" s="8">
        <v>46247</v>
      </c>
      <c r="O528" s="8">
        <v>46250</v>
      </c>
      <c r="P528" t="s">
        <v>91</v>
      </c>
      <c r="Q528" s="8"/>
      <c r="R528" t="s">
        <v>38</v>
      </c>
      <c r="S52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29" spans="1:20">
      <c r="A529" t="s">
        <v>987</v>
      </c>
      <c r="B529" t="s">
        <v>988</v>
      </c>
      <c r="C529" t="s">
        <v>45</v>
      </c>
      <c r="D529" t="s">
        <v>109</v>
      </c>
      <c r="E529" t="s">
        <v>146</v>
      </c>
      <c r="F529" t="s">
        <v>147</v>
      </c>
      <c r="G529" s="5">
        <v>7.5</v>
      </c>
      <c r="H529" s="7">
        <v>0.13900000000000001</v>
      </c>
      <c r="I529" s="5" t="s">
        <v>38</v>
      </c>
      <c r="J529" t="s">
        <v>39</v>
      </c>
      <c r="K529" t="s">
        <v>28</v>
      </c>
      <c r="L529" t="s">
        <v>40</v>
      </c>
      <c r="M529" t="s">
        <v>41</v>
      </c>
      <c r="N529" s="8">
        <v>46236</v>
      </c>
      <c r="O529" s="8">
        <v>46250</v>
      </c>
      <c r="P529" t="s">
        <v>50</v>
      </c>
      <c r="Q529" s="8"/>
      <c r="R529" t="s">
        <v>38</v>
      </c>
      <c r="S52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2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0" spans="1:20">
      <c r="A530" t="s">
        <v>989</v>
      </c>
      <c r="B530" t="s">
        <v>990</v>
      </c>
      <c r="C530" t="s">
        <v>34</v>
      </c>
      <c r="D530" t="s">
        <v>23</v>
      </c>
      <c r="E530" t="s">
        <v>146</v>
      </c>
      <c r="F530" t="s">
        <v>147</v>
      </c>
      <c r="G530" s="5">
        <v>7.5</v>
      </c>
      <c r="H530" s="7">
        <v>0.24199999999999999</v>
      </c>
      <c r="I530" s="5" t="s">
        <v>38</v>
      </c>
      <c r="J530" t="s">
        <v>110</v>
      </c>
      <c r="K530" t="s">
        <v>60</v>
      </c>
      <c r="L530" t="s">
        <v>54</v>
      </c>
      <c r="M530" t="s">
        <v>55</v>
      </c>
      <c r="N530" s="8">
        <v>46252</v>
      </c>
      <c r="O530" s="8">
        <v>46266</v>
      </c>
      <c r="P530" t="s">
        <v>50</v>
      </c>
      <c r="Q530" s="8"/>
      <c r="R530" t="s">
        <v>38</v>
      </c>
      <c r="S53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3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1" spans="1:20">
      <c r="A531" t="s">
        <v>991</v>
      </c>
      <c r="B531" t="s">
        <v>992</v>
      </c>
      <c r="C531" t="s">
        <v>79</v>
      </c>
      <c r="D531" t="s">
        <v>84</v>
      </c>
      <c r="E531" t="s">
        <v>36</v>
      </c>
      <c r="F531" t="s">
        <v>37</v>
      </c>
      <c r="G531" s="5">
        <v>10</v>
      </c>
      <c r="H531" s="7">
        <v>6.9000000000000006E-2</v>
      </c>
      <c r="I531" s="5" t="s">
        <v>38</v>
      </c>
      <c r="J531" t="s">
        <v>27</v>
      </c>
      <c r="K531" t="s">
        <v>28</v>
      </c>
      <c r="L531" t="s">
        <v>54</v>
      </c>
      <c r="M531" t="s">
        <v>55</v>
      </c>
      <c r="N531" s="8">
        <v>46264</v>
      </c>
      <c r="O531" s="8">
        <v>46271</v>
      </c>
      <c r="P531" t="s">
        <v>42</v>
      </c>
      <c r="Q531" s="8"/>
      <c r="R531" t="s">
        <v>26</v>
      </c>
      <c r="S53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53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532" spans="1:20">
      <c r="A532" t="s">
        <v>993</v>
      </c>
      <c r="B532" t="s">
        <v>269</v>
      </c>
      <c r="C532" t="s">
        <v>45</v>
      </c>
      <c r="D532" t="s">
        <v>35</v>
      </c>
      <c r="E532" t="s">
        <v>119</v>
      </c>
      <c r="F532" t="s">
        <v>37</v>
      </c>
      <c r="G532" s="5">
        <v>7.8</v>
      </c>
      <c r="H532" s="7">
        <v>0.246</v>
      </c>
      <c r="I532" s="5" t="s">
        <v>38</v>
      </c>
      <c r="J532" t="s">
        <v>110</v>
      </c>
      <c r="K532" t="s">
        <v>60</v>
      </c>
      <c r="L532" t="s">
        <v>54</v>
      </c>
      <c r="M532" t="s">
        <v>55</v>
      </c>
      <c r="N532" s="8">
        <v>46247</v>
      </c>
      <c r="O532" s="8">
        <v>46259</v>
      </c>
      <c r="P532" t="s">
        <v>91</v>
      </c>
      <c r="Q532" s="8"/>
      <c r="R532" t="s">
        <v>38</v>
      </c>
      <c r="S53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3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3" spans="1:20">
      <c r="A533" t="s">
        <v>994</v>
      </c>
      <c r="B533" t="s">
        <v>471</v>
      </c>
      <c r="C533" t="s">
        <v>79</v>
      </c>
      <c r="D533" t="s">
        <v>35</v>
      </c>
      <c r="E533" t="s">
        <v>36</v>
      </c>
      <c r="F533" t="s">
        <v>37</v>
      </c>
      <c r="G533" s="5">
        <v>9.8000000000000007</v>
      </c>
      <c r="H533" s="7">
        <v>6.7000000000000004E-2</v>
      </c>
      <c r="I533" s="5" t="s">
        <v>38</v>
      </c>
      <c r="J533" t="s">
        <v>39</v>
      </c>
      <c r="K533" t="s">
        <v>60</v>
      </c>
      <c r="L533" t="s">
        <v>40</v>
      </c>
      <c r="M533" t="s">
        <v>72</v>
      </c>
      <c r="N533" s="8">
        <v>46257</v>
      </c>
      <c r="O533" s="8">
        <v>46264</v>
      </c>
      <c r="P533" t="s">
        <v>42</v>
      </c>
      <c r="Q533" s="8"/>
      <c r="R533" t="s">
        <v>38</v>
      </c>
      <c r="S53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3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34" spans="1:20">
      <c r="A534" t="s">
        <v>995</v>
      </c>
      <c r="B534" t="s">
        <v>996</v>
      </c>
      <c r="C534" t="s">
        <v>79</v>
      </c>
      <c r="D534" t="s">
        <v>84</v>
      </c>
      <c r="E534" t="s">
        <v>125</v>
      </c>
      <c r="F534" t="s">
        <v>126</v>
      </c>
      <c r="G534" s="5">
        <v>8.6</v>
      </c>
      <c r="H534" s="7">
        <v>0.16600000000000001</v>
      </c>
      <c r="I534" s="5" t="s">
        <v>38</v>
      </c>
      <c r="J534" t="s">
        <v>39</v>
      </c>
      <c r="K534" t="s">
        <v>28</v>
      </c>
      <c r="L534" t="s">
        <v>40</v>
      </c>
      <c r="M534" t="s">
        <v>41</v>
      </c>
      <c r="N534" s="8">
        <v>46242</v>
      </c>
      <c r="O534" s="8">
        <v>46256</v>
      </c>
      <c r="P534" t="s">
        <v>50</v>
      </c>
      <c r="Q534" s="8"/>
      <c r="R534" t="s">
        <v>38</v>
      </c>
      <c r="S53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3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5" spans="1:20">
      <c r="A535" t="s">
        <v>997</v>
      </c>
      <c r="B535" t="s">
        <v>634</v>
      </c>
      <c r="C535" t="s">
        <v>58</v>
      </c>
      <c r="D535" t="s">
        <v>23</v>
      </c>
      <c r="E535" t="s">
        <v>125</v>
      </c>
      <c r="F535" t="s">
        <v>126</v>
      </c>
      <c r="G535" s="5">
        <v>8.6</v>
      </c>
      <c r="H535" s="7">
        <v>5.6000000000000001E-2</v>
      </c>
      <c r="I535" s="5" t="s">
        <v>38</v>
      </c>
      <c r="J535" t="s">
        <v>39</v>
      </c>
      <c r="K535" t="s">
        <v>28</v>
      </c>
      <c r="L535" t="s">
        <v>29</v>
      </c>
      <c r="M535" t="s">
        <v>65</v>
      </c>
      <c r="N535" s="8">
        <v>46256</v>
      </c>
      <c r="O535" s="8">
        <v>46266</v>
      </c>
      <c r="P535" t="s">
        <v>31</v>
      </c>
      <c r="Q535" s="8">
        <v>46260</v>
      </c>
      <c r="R535" t="s">
        <v>38</v>
      </c>
      <c r="S53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3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6" spans="1:20">
      <c r="A536" t="s">
        <v>998</v>
      </c>
      <c r="B536" t="s">
        <v>999</v>
      </c>
      <c r="C536" t="s">
        <v>22</v>
      </c>
      <c r="D536" t="s">
        <v>63</v>
      </c>
      <c r="E536" t="s">
        <v>64</v>
      </c>
      <c r="F536" t="s">
        <v>37</v>
      </c>
      <c r="G536" s="5">
        <v>9.8000000000000007</v>
      </c>
      <c r="H536" s="7">
        <v>6.7000000000000004E-2</v>
      </c>
      <c r="I536" s="5" t="s">
        <v>38</v>
      </c>
      <c r="J536" t="s">
        <v>39</v>
      </c>
      <c r="K536" t="s">
        <v>60</v>
      </c>
      <c r="L536" t="s">
        <v>75</v>
      </c>
      <c r="M536" t="s">
        <v>129</v>
      </c>
      <c r="N536" s="8">
        <v>46263</v>
      </c>
      <c r="O536" s="8">
        <v>46266</v>
      </c>
      <c r="P536" t="s">
        <v>42</v>
      </c>
      <c r="Q536" s="8"/>
      <c r="R536" t="s">
        <v>38</v>
      </c>
      <c r="S53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3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37" spans="1:20">
      <c r="A537" t="s">
        <v>1000</v>
      </c>
      <c r="B537" t="s">
        <v>271</v>
      </c>
      <c r="C537" t="s">
        <v>79</v>
      </c>
      <c r="D537" t="s">
        <v>113</v>
      </c>
      <c r="E537" t="s">
        <v>125</v>
      </c>
      <c r="F537" t="s">
        <v>126</v>
      </c>
      <c r="G537" s="5">
        <v>8.6</v>
      </c>
      <c r="H537" s="7">
        <v>0.51400000000000001</v>
      </c>
      <c r="I537" s="5" t="s">
        <v>38</v>
      </c>
      <c r="J537" t="s">
        <v>110</v>
      </c>
      <c r="K537" t="s">
        <v>87</v>
      </c>
      <c r="L537" t="s">
        <v>40</v>
      </c>
      <c r="M537" t="s">
        <v>41</v>
      </c>
      <c r="N537" s="8">
        <v>46256</v>
      </c>
      <c r="O537" s="8">
        <v>46270</v>
      </c>
      <c r="P537" t="s">
        <v>50</v>
      </c>
      <c r="Q537" s="8"/>
      <c r="R537" t="s">
        <v>38</v>
      </c>
      <c r="S53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3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8" spans="1:20">
      <c r="A538" t="s">
        <v>1001</v>
      </c>
      <c r="B538" t="s">
        <v>124</v>
      </c>
      <c r="C538" t="s">
        <v>45</v>
      </c>
      <c r="D538" t="s">
        <v>84</v>
      </c>
      <c r="E538" t="s">
        <v>70</v>
      </c>
      <c r="F538" t="s">
        <v>71</v>
      </c>
      <c r="G538" s="5">
        <v>9.8000000000000007</v>
      </c>
      <c r="H538" s="7">
        <v>0.122</v>
      </c>
      <c r="I538" s="5" t="s">
        <v>38</v>
      </c>
      <c r="J538" t="s">
        <v>39</v>
      </c>
      <c r="K538" t="s">
        <v>87</v>
      </c>
      <c r="L538" t="s">
        <v>29</v>
      </c>
      <c r="M538" t="s">
        <v>65</v>
      </c>
      <c r="N538" s="8">
        <v>46255</v>
      </c>
      <c r="O538" s="8">
        <v>46262</v>
      </c>
      <c r="P538" t="s">
        <v>50</v>
      </c>
      <c r="Q538" s="8"/>
      <c r="R538" t="s">
        <v>38</v>
      </c>
      <c r="S53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3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39" spans="1:20">
      <c r="A539" t="s">
        <v>1002</v>
      </c>
      <c r="B539" t="s">
        <v>867</v>
      </c>
      <c r="C539" t="s">
        <v>45</v>
      </c>
      <c r="D539" t="s">
        <v>35</v>
      </c>
      <c r="E539" t="s">
        <v>216</v>
      </c>
      <c r="F539" t="s">
        <v>217</v>
      </c>
      <c r="G539" s="5">
        <v>9.1</v>
      </c>
      <c r="H539" s="7">
        <v>6.6000000000000003E-2</v>
      </c>
      <c r="I539" s="5" t="s">
        <v>38</v>
      </c>
      <c r="J539" t="s">
        <v>27</v>
      </c>
      <c r="K539" t="s">
        <v>28</v>
      </c>
      <c r="L539" t="s">
        <v>99</v>
      </c>
      <c r="M539" t="s">
        <v>100</v>
      </c>
      <c r="N539" s="8">
        <v>46255</v>
      </c>
      <c r="O539" s="8">
        <v>46262</v>
      </c>
      <c r="P539" t="s">
        <v>42</v>
      </c>
      <c r="Q539" s="8"/>
      <c r="R539" t="s">
        <v>26</v>
      </c>
      <c r="S53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53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40" spans="1:20">
      <c r="A540" t="s">
        <v>1003</v>
      </c>
      <c r="B540" t="s">
        <v>1004</v>
      </c>
      <c r="C540" t="s">
        <v>45</v>
      </c>
      <c r="D540" t="s">
        <v>35</v>
      </c>
      <c r="E540" t="s">
        <v>119</v>
      </c>
      <c r="F540" t="s">
        <v>37</v>
      </c>
      <c r="G540" s="5">
        <v>7.8</v>
      </c>
      <c r="H540" s="7">
        <v>8.1000000000000003E-2</v>
      </c>
      <c r="I540" s="5" t="s">
        <v>38</v>
      </c>
      <c r="J540" t="s">
        <v>39</v>
      </c>
      <c r="K540" t="s">
        <v>28</v>
      </c>
      <c r="L540" t="s">
        <v>40</v>
      </c>
      <c r="M540" t="s">
        <v>72</v>
      </c>
      <c r="N540" s="8">
        <v>46251</v>
      </c>
      <c r="O540" s="8">
        <v>46265</v>
      </c>
      <c r="P540" t="s">
        <v>50</v>
      </c>
      <c r="Q540" s="8"/>
      <c r="R540" t="s">
        <v>38</v>
      </c>
      <c r="S54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4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41" spans="1:20">
      <c r="A541" t="s">
        <v>1005</v>
      </c>
      <c r="B541" t="s">
        <v>1006</v>
      </c>
      <c r="C541" t="s">
        <v>79</v>
      </c>
      <c r="D541" t="s">
        <v>23</v>
      </c>
      <c r="E541" t="s">
        <v>125</v>
      </c>
      <c r="F541" t="s">
        <v>126</v>
      </c>
      <c r="G541" s="5">
        <v>8.6</v>
      </c>
      <c r="H541" s="7">
        <v>6.6000000000000003E-2</v>
      </c>
      <c r="I541" s="5" t="s">
        <v>38</v>
      </c>
      <c r="J541" t="s">
        <v>39</v>
      </c>
      <c r="K541" t="s">
        <v>28</v>
      </c>
      <c r="L541" t="s">
        <v>75</v>
      </c>
      <c r="M541" t="s">
        <v>76</v>
      </c>
      <c r="N541" s="8">
        <v>46250</v>
      </c>
      <c r="O541" s="8">
        <v>46264</v>
      </c>
      <c r="P541" t="s">
        <v>42</v>
      </c>
      <c r="Q541" s="8"/>
      <c r="R541" t="s">
        <v>38</v>
      </c>
      <c r="S54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4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42" spans="1:20">
      <c r="A542" t="s">
        <v>1007</v>
      </c>
      <c r="B542" t="s">
        <v>516</v>
      </c>
      <c r="C542" t="s">
        <v>45</v>
      </c>
      <c r="D542" t="s">
        <v>53</v>
      </c>
      <c r="E542" t="s">
        <v>119</v>
      </c>
      <c r="F542" t="s">
        <v>37</v>
      </c>
      <c r="G542" s="5">
        <v>7.8</v>
      </c>
      <c r="H542" s="7">
        <v>0.33400000000000002</v>
      </c>
      <c r="I542" s="5" t="s">
        <v>38</v>
      </c>
      <c r="J542" t="s">
        <v>110</v>
      </c>
      <c r="K542" t="s">
        <v>87</v>
      </c>
      <c r="L542" t="s">
        <v>29</v>
      </c>
      <c r="M542" t="s">
        <v>65</v>
      </c>
      <c r="N542" s="8">
        <v>46257</v>
      </c>
      <c r="O542" s="8">
        <v>46271</v>
      </c>
      <c r="P542" t="s">
        <v>31</v>
      </c>
      <c r="Q542" s="8">
        <v>46285</v>
      </c>
      <c r="R542" t="s">
        <v>38</v>
      </c>
      <c r="S54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4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43" spans="1:20">
      <c r="A543" t="s">
        <v>1008</v>
      </c>
      <c r="B543" t="s">
        <v>935</v>
      </c>
      <c r="C543" t="s">
        <v>34</v>
      </c>
      <c r="D543" t="s">
        <v>63</v>
      </c>
      <c r="E543" t="s">
        <v>142</v>
      </c>
      <c r="F543" t="s">
        <v>71</v>
      </c>
      <c r="G543" s="5">
        <v>8.8000000000000007</v>
      </c>
      <c r="H543" s="7">
        <v>0.24399999999999999</v>
      </c>
      <c r="I543" s="5" t="s">
        <v>38</v>
      </c>
      <c r="J543" t="s">
        <v>39</v>
      </c>
      <c r="K543" t="s">
        <v>87</v>
      </c>
      <c r="L543" t="s">
        <v>75</v>
      </c>
      <c r="M543" t="s">
        <v>129</v>
      </c>
      <c r="N543" s="8">
        <v>46261</v>
      </c>
      <c r="O543" s="8">
        <v>46275</v>
      </c>
      <c r="P543" t="s">
        <v>101</v>
      </c>
      <c r="Q543" s="8">
        <v>46275</v>
      </c>
      <c r="R543" t="s">
        <v>38</v>
      </c>
      <c r="S54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4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44" spans="1:20">
      <c r="A544" t="s">
        <v>1009</v>
      </c>
      <c r="B544" t="s">
        <v>57</v>
      </c>
      <c r="C544" t="s">
        <v>58</v>
      </c>
      <c r="D544" t="s">
        <v>84</v>
      </c>
      <c r="E544" t="s">
        <v>146</v>
      </c>
      <c r="F544" t="s">
        <v>147</v>
      </c>
      <c r="G544" s="5">
        <v>7.5</v>
      </c>
      <c r="H544" s="7">
        <v>0.215</v>
      </c>
      <c r="I544" s="5" t="s">
        <v>38</v>
      </c>
      <c r="J544" t="s">
        <v>39</v>
      </c>
      <c r="K544" t="s">
        <v>87</v>
      </c>
      <c r="L544" t="s">
        <v>80</v>
      </c>
      <c r="M544" t="s">
        <v>96</v>
      </c>
      <c r="N544" s="8">
        <v>46275</v>
      </c>
      <c r="O544" s="8">
        <v>46289</v>
      </c>
      <c r="P544" t="s">
        <v>101</v>
      </c>
      <c r="Q544" s="8">
        <v>46310</v>
      </c>
      <c r="R544" t="s">
        <v>38</v>
      </c>
      <c r="S54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4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45" spans="1:20">
      <c r="A545" t="s">
        <v>1010</v>
      </c>
      <c r="B545" t="s">
        <v>1011</v>
      </c>
      <c r="C545" t="s">
        <v>58</v>
      </c>
      <c r="D545" t="s">
        <v>122</v>
      </c>
      <c r="E545" t="s">
        <v>142</v>
      </c>
      <c r="F545" t="s">
        <v>71</v>
      </c>
      <c r="G545" s="5">
        <v>8.8000000000000007</v>
      </c>
      <c r="H545" s="7">
        <v>6.3E-2</v>
      </c>
      <c r="I545" s="5" t="s">
        <v>38</v>
      </c>
      <c r="J545" t="s">
        <v>27</v>
      </c>
      <c r="K545" t="s">
        <v>60</v>
      </c>
      <c r="L545" t="s">
        <v>75</v>
      </c>
      <c r="M545" t="s">
        <v>129</v>
      </c>
      <c r="N545" s="8">
        <v>46247</v>
      </c>
      <c r="O545" s="8">
        <v>46261</v>
      </c>
      <c r="P545" t="s">
        <v>42</v>
      </c>
      <c r="Q545" s="8"/>
      <c r="R545" t="s">
        <v>26</v>
      </c>
      <c r="S54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4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46" spans="1:20">
      <c r="A546" t="s">
        <v>1012</v>
      </c>
      <c r="B546" t="s">
        <v>1013</v>
      </c>
      <c r="C546" t="s">
        <v>58</v>
      </c>
      <c r="D546" t="s">
        <v>104</v>
      </c>
      <c r="E546" t="s">
        <v>216</v>
      </c>
      <c r="F546" t="s">
        <v>217</v>
      </c>
      <c r="G546" s="5">
        <v>9.1</v>
      </c>
      <c r="H546" s="7">
        <v>0.06</v>
      </c>
      <c r="I546" s="5" t="s">
        <v>38</v>
      </c>
      <c r="J546" t="s">
        <v>27</v>
      </c>
      <c r="K546" t="s">
        <v>87</v>
      </c>
      <c r="L546" t="s">
        <v>29</v>
      </c>
      <c r="M546" t="s">
        <v>30</v>
      </c>
      <c r="N546" s="8">
        <v>46275</v>
      </c>
      <c r="O546" s="8">
        <v>46282</v>
      </c>
      <c r="P546" t="s">
        <v>42</v>
      </c>
      <c r="Q546" s="8"/>
      <c r="R546" t="s">
        <v>26</v>
      </c>
      <c r="S54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4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47" spans="1:20">
      <c r="A547" t="s">
        <v>1014</v>
      </c>
      <c r="B547" t="s">
        <v>1015</v>
      </c>
      <c r="C547" t="s">
        <v>22</v>
      </c>
      <c r="D547" t="s">
        <v>104</v>
      </c>
      <c r="E547" t="s">
        <v>201</v>
      </c>
      <c r="F547" t="s">
        <v>202</v>
      </c>
      <c r="G547" s="5">
        <v>9.8000000000000007</v>
      </c>
      <c r="H547" s="7">
        <v>4.9000000000000002E-2</v>
      </c>
      <c r="I547" s="5" t="s">
        <v>38</v>
      </c>
      <c r="J547" t="s">
        <v>39</v>
      </c>
      <c r="K547" t="s">
        <v>87</v>
      </c>
      <c r="L547" t="s">
        <v>75</v>
      </c>
      <c r="M547" t="s">
        <v>76</v>
      </c>
      <c r="N547" s="8">
        <v>46259</v>
      </c>
      <c r="O547" s="8">
        <v>46264</v>
      </c>
      <c r="P547" t="s">
        <v>50</v>
      </c>
      <c r="Q547" s="8"/>
      <c r="R547" t="s">
        <v>38</v>
      </c>
      <c r="S54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4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48" spans="1:20">
      <c r="A548" t="s">
        <v>1016</v>
      </c>
      <c r="B548" t="s">
        <v>382</v>
      </c>
      <c r="C548" t="s">
        <v>34</v>
      </c>
      <c r="D548" t="s">
        <v>90</v>
      </c>
      <c r="E548" t="s">
        <v>125</v>
      </c>
      <c r="F548" t="s">
        <v>126</v>
      </c>
      <c r="G548" s="5">
        <v>8.6</v>
      </c>
      <c r="H548" s="7">
        <v>5.3999999999999999E-2</v>
      </c>
      <c r="I548" s="5" t="s">
        <v>38</v>
      </c>
      <c r="J548" t="s">
        <v>27</v>
      </c>
      <c r="K548" t="s">
        <v>28</v>
      </c>
      <c r="L548" t="s">
        <v>48</v>
      </c>
      <c r="M548" t="s">
        <v>132</v>
      </c>
      <c r="N548" s="8">
        <v>46247</v>
      </c>
      <c r="O548" s="8">
        <v>46261</v>
      </c>
      <c r="P548" t="s">
        <v>42</v>
      </c>
      <c r="Q548" s="8"/>
      <c r="R548" t="s">
        <v>26</v>
      </c>
      <c r="S54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54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49" spans="1:20">
      <c r="A549" t="s">
        <v>1017</v>
      </c>
      <c r="B549" t="s">
        <v>1018</v>
      </c>
      <c r="C549" t="s">
        <v>79</v>
      </c>
      <c r="D549" t="s">
        <v>63</v>
      </c>
      <c r="E549" t="s">
        <v>142</v>
      </c>
      <c r="F549" t="s">
        <v>71</v>
      </c>
      <c r="G549" s="5">
        <v>8.8000000000000007</v>
      </c>
      <c r="H549" s="7">
        <v>0.19400000000000001</v>
      </c>
      <c r="I549" s="5" t="s">
        <v>38</v>
      </c>
      <c r="J549" t="s">
        <v>39</v>
      </c>
      <c r="K549" t="s">
        <v>60</v>
      </c>
      <c r="L549" t="s">
        <v>75</v>
      </c>
      <c r="M549" t="s">
        <v>76</v>
      </c>
      <c r="N549" s="8">
        <v>46240</v>
      </c>
      <c r="O549" s="8">
        <v>46254</v>
      </c>
      <c r="P549" t="s">
        <v>101</v>
      </c>
      <c r="Q549" s="8">
        <v>46243</v>
      </c>
      <c r="R549" t="s">
        <v>38</v>
      </c>
      <c r="S54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4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50" spans="1:20">
      <c r="A550" t="s">
        <v>1019</v>
      </c>
      <c r="B550" t="s">
        <v>1006</v>
      </c>
      <c r="C550" t="s">
        <v>79</v>
      </c>
      <c r="D550" t="s">
        <v>46</v>
      </c>
      <c r="E550" t="s">
        <v>119</v>
      </c>
      <c r="F550" t="s">
        <v>37</v>
      </c>
      <c r="G550" s="5">
        <v>7.8</v>
      </c>
      <c r="H550" s="7">
        <v>0.29899999999999999</v>
      </c>
      <c r="I550" s="5" t="s">
        <v>38</v>
      </c>
      <c r="J550" t="s">
        <v>110</v>
      </c>
      <c r="K550" t="s">
        <v>87</v>
      </c>
      <c r="L550" t="s">
        <v>75</v>
      </c>
      <c r="M550" t="s">
        <v>129</v>
      </c>
      <c r="N550" s="8">
        <v>46238</v>
      </c>
      <c r="O550" s="8">
        <v>46252</v>
      </c>
      <c r="P550" t="s">
        <v>91</v>
      </c>
      <c r="Q550" s="8"/>
      <c r="R550" t="s">
        <v>38</v>
      </c>
      <c r="S55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5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51" spans="1:20">
      <c r="A551" t="s">
        <v>1020</v>
      </c>
      <c r="B551" t="s">
        <v>1021</v>
      </c>
      <c r="C551" t="s">
        <v>45</v>
      </c>
      <c r="D551" t="s">
        <v>109</v>
      </c>
      <c r="E551" t="s">
        <v>146</v>
      </c>
      <c r="F551" t="s">
        <v>147</v>
      </c>
      <c r="G551" s="5">
        <v>7.5</v>
      </c>
      <c r="H551" s="7">
        <v>0.19</v>
      </c>
      <c r="I551" s="5" t="s">
        <v>38</v>
      </c>
      <c r="J551" t="s">
        <v>39</v>
      </c>
      <c r="K551" t="s">
        <v>60</v>
      </c>
      <c r="L551" t="s">
        <v>54</v>
      </c>
      <c r="M551" t="s">
        <v>55</v>
      </c>
      <c r="N551" s="8">
        <v>46257</v>
      </c>
      <c r="O551" s="8">
        <v>46269</v>
      </c>
      <c r="P551" t="s">
        <v>50</v>
      </c>
      <c r="Q551" s="8"/>
      <c r="R551" t="s">
        <v>38</v>
      </c>
      <c r="S55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5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52" spans="1:20">
      <c r="A552" t="s">
        <v>1022</v>
      </c>
      <c r="B552" t="s">
        <v>1023</v>
      </c>
      <c r="C552" t="s">
        <v>58</v>
      </c>
      <c r="D552" t="s">
        <v>104</v>
      </c>
      <c r="E552" t="s">
        <v>116</v>
      </c>
      <c r="F552" t="s">
        <v>37</v>
      </c>
      <c r="G552" s="5">
        <v>8.3000000000000007</v>
      </c>
      <c r="H552" s="7">
        <v>5.0999999999999997E-2</v>
      </c>
      <c r="I552" s="5" t="s">
        <v>26</v>
      </c>
      <c r="J552" t="s">
        <v>27</v>
      </c>
      <c r="K552" t="s">
        <v>28</v>
      </c>
      <c r="L552" t="s">
        <v>54</v>
      </c>
      <c r="M552" t="s">
        <v>55</v>
      </c>
      <c r="N552" s="8">
        <v>46248</v>
      </c>
      <c r="O552" s="8">
        <v>46262</v>
      </c>
      <c r="P552" t="s">
        <v>42</v>
      </c>
      <c r="Q552" s="8"/>
      <c r="R552" t="s">
        <v>26</v>
      </c>
      <c r="S55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55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553" spans="1:20">
      <c r="A553" t="s">
        <v>1024</v>
      </c>
      <c r="B553" t="s">
        <v>1025</v>
      </c>
      <c r="C553" t="s">
        <v>22</v>
      </c>
      <c r="D553" t="s">
        <v>104</v>
      </c>
      <c r="E553" t="s">
        <v>125</v>
      </c>
      <c r="F553" t="s">
        <v>126</v>
      </c>
      <c r="G553" s="5">
        <v>8.6</v>
      </c>
      <c r="H553" s="7">
        <v>0.05</v>
      </c>
      <c r="I553" s="5" t="s">
        <v>38</v>
      </c>
      <c r="J553" t="s">
        <v>27</v>
      </c>
      <c r="K553" t="s">
        <v>60</v>
      </c>
      <c r="L553" t="s">
        <v>40</v>
      </c>
      <c r="M553" t="s">
        <v>72</v>
      </c>
      <c r="N553" s="8">
        <v>46251</v>
      </c>
      <c r="O553" s="8">
        <v>46265</v>
      </c>
      <c r="P553" t="s">
        <v>42</v>
      </c>
      <c r="Q553" s="8"/>
      <c r="R553" t="s">
        <v>26</v>
      </c>
      <c r="S55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5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54" spans="1:20">
      <c r="A554" t="s">
        <v>1026</v>
      </c>
      <c r="B554" t="s">
        <v>1027</v>
      </c>
      <c r="C554" t="s">
        <v>22</v>
      </c>
      <c r="D554" t="s">
        <v>59</v>
      </c>
      <c r="E554" t="s">
        <v>119</v>
      </c>
      <c r="F554" t="s">
        <v>37</v>
      </c>
      <c r="G554" s="5">
        <v>7.8</v>
      </c>
      <c r="H554" s="7">
        <v>0.121</v>
      </c>
      <c r="I554" s="5" t="s">
        <v>38</v>
      </c>
      <c r="J554" t="s">
        <v>39</v>
      </c>
      <c r="K554" t="s">
        <v>60</v>
      </c>
      <c r="L554" t="s">
        <v>99</v>
      </c>
      <c r="M554" t="s">
        <v>100</v>
      </c>
      <c r="N554" s="8">
        <v>46263</v>
      </c>
      <c r="O554" s="8">
        <v>46277</v>
      </c>
      <c r="P554" t="s">
        <v>50</v>
      </c>
      <c r="Q554" s="8"/>
      <c r="R554" t="s">
        <v>38</v>
      </c>
      <c r="S55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5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55" spans="1:20">
      <c r="A555" t="s">
        <v>1028</v>
      </c>
      <c r="B555" t="s">
        <v>1029</v>
      </c>
      <c r="C555" t="s">
        <v>79</v>
      </c>
      <c r="D555" t="s">
        <v>63</v>
      </c>
      <c r="E555" t="s">
        <v>119</v>
      </c>
      <c r="F555" t="s">
        <v>37</v>
      </c>
      <c r="G555" s="5">
        <v>7.8</v>
      </c>
      <c r="H555" s="7">
        <v>0.28999999999999998</v>
      </c>
      <c r="I555" s="5" t="s">
        <v>38</v>
      </c>
      <c r="J555" t="s">
        <v>39</v>
      </c>
      <c r="K555" t="s">
        <v>87</v>
      </c>
      <c r="L555" t="s">
        <v>99</v>
      </c>
      <c r="M555" t="s">
        <v>100</v>
      </c>
      <c r="N555" s="8">
        <v>46258</v>
      </c>
      <c r="O555" s="8">
        <v>46272</v>
      </c>
      <c r="P555" t="s">
        <v>91</v>
      </c>
      <c r="Q555" s="8"/>
      <c r="R555" t="s">
        <v>38</v>
      </c>
      <c r="S55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5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56" spans="1:20">
      <c r="A556" t="s">
        <v>1030</v>
      </c>
      <c r="B556" t="s">
        <v>1031</v>
      </c>
      <c r="C556" t="s">
        <v>79</v>
      </c>
      <c r="D556" t="s">
        <v>59</v>
      </c>
      <c r="E556" t="s">
        <v>142</v>
      </c>
      <c r="F556" t="s">
        <v>71</v>
      </c>
      <c r="G556" s="5">
        <v>8.8000000000000007</v>
      </c>
      <c r="H556" s="7">
        <v>4.9000000000000002E-2</v>
      </c>
      <c r="I556" s="5" t="s">
        <v>38</v>
      </c>
      <c r="J556" t="s">
        <v>27</v>
      </c>
      <c r="K556" t="s">
        <v>60</v>
      </c>
      <c r="L556" t="s">
        <v>80</v>
      </c>
      <c r="M556" t="s">
        <v>81</v>
      </c>
      <c r="N556" s="8">
        <v>46258</v>
      </c>
      <c r="O556" s="8">
        <v>46271</v>
      </c>
      <c r="P556" t="s">
        <v>42</v>
      </c>
      <c r="Q556" s="8"/>
      <c r="R556" t="s">
        <v>26</v>
      </c>
      <c r="S55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5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57" spans="1:20">
      <c r="A557" t="s">
        <v>1032</v>
      </c>
      <c r="B557" t="s">
        <v>683</v>
      </c>
      <c r="C557" t="s">
        <v>45</v>
      </c>
      <c r="D557" t="s">
        <v>23</v>
      </c>
      <c r="E557" t="s">
        <v>119</v>
      </c>
      <c r="F557" t="s">
        <v>37</v>
      </c>
      <c r="G557" s="5">
        <v>7.8</v>
      </c>
      <c r="H557" s="7">
        <v>0.28599999999999998</v>
      </c>
      <c r="I557" s="5" t="s">
        <v>38</v>
      </c>
      <c r="J557" t="s">
        <v>110</v>
      </c>
      <c r="K557" t="s">
        <v>87</v>
      </c>
      <c r="L557" t="s">
        <v>80</v>
      </c>
      <c r="M557" t="s">
        <v>81</v>
      </c>
      <c r="N557" s="8">
        <v>46251</v>
      </c>
      <c r="O557" s="8">
        <v>46265</v>
      </c>
      <c r="P557" t="s">
        <v>91</v>
      </c>
      <c r="Q557" s="8"/>
      <c r="R557" t="s">
        <v>38</v>
      </c>
      <c r="S55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5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58" spans="1:20">
      <c r="A558" t="s">
        <v>1033</v>
      </c>
      <c r="B558" t="s">
        <v>666</v>
      </c>
      <c r="C558" t="s">
        <v>79</v>
      </c>
      <c r="D558" t="s">
        <v>23</v>
      </c>
      <c r="E558" t="s">
        <v>125</v>
      </c>
      <c r="F558" t="s">
        <v>126</v>
      </c>
      <c r="G558" s="5">
        <v>8.6</v>
      </c>
      <c r="H558" s="7">
        <v>4.9000000000000002E-2</v>
      </c>
      <c r="I558" s="5" t="s">
        <v>38</v>
      </c>
      <c r="J558" t="s">
        <v>39</v>
      </c>
      <c r="K558" t="s">
        <v>60</v>
      </c>
      <c r="L558" t="s">
        <v>40</v>
      </c>
      <c r="M558" t="s">
        <v>72</v>
      </c>
      <c r="N558" s="8">
        <v>46239</v>
      </c>
      <c r="O558" s="8">
        <v>46253</v>
      </c>
      <c r="P558" t="s">
        <v>42</v>
      </c>
      <c r="Q558" s="8"/>
      <c r="R558" t="s">
        <v>38</v>
      </c>
      <c r="S55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5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59" spans="1:20">
      <c r="A559" t="s">
        <v>1034</v>
      </c>
      <c r="B559" t="s">
        <v>343</v>
      </c>
      <c r="C559" t="s">
        <v>58</v>
      </c>
      <c r="D559" t="s">
        <v>113</v>
      </c>
      <c r="E559" t="s">
        <v>142</v>
      </c>
      <c r="F559" t="s">
        <v>71</v>
      </c>
      <c r="G559" s="5">
        <v>8.8000000000000007</v>
      </c>
      <c r="H559" s="7">
        <v>0.24</v>
      </c>
      <c r="I559" s="5" t="s">
        <v>38</v>
      </c>
      <c r="J559" t="s">
        <v>39</v>
      </c>
      <c r="K559" t="s">
        <v>87</v>
      </c>
      <c r="L559" t="s">
        <v>99</v>
      </c>
      <c r="M559" t="s">
        <v>100</v>
      </c>
      <c r="N559" s="8">
        <v>46269</v>
      </c>
      <c r="O559" s="8">
        <v>46280</v>
      </c>
      <c r="P559" t="s">
        <v>50</v>
      </c>
      <c r="Q559" s="8"/>
      <c r="R559" t="s">
        <v>38</v>
      </c>
      <c r="S55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5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60" spans="1:20">
      <c r="A560" t="s">
        <v>1035</v>
      </c>
      <c r="B560" t="s">
        <v>1036</v>
      </c>
      <c r="C560" t="s">
        <v>34</v>
      </c>
      <c r="D560" t="s">
        <v>104</v>
      </c>
      <c r="E560" t="s">
        <v>47</v>
      </c>
      <c r="F560" t="s">
        <v>37</v>
      </c>
      <c r="G560" s="5">
        <v>10</v>
      </c>
      <c r="H560" s="7">
        <v>4.8000000000000001E-2</v>
      </c>
      <c r="I560" s="5" t="s">
        <v>26</v>
      </c>
      <c r="J560" t="s">
        <v>39</v>
      </c>
      <c r="K560" t="s">
        <v>28</v>
      </c>
      <c r="L560" t="s">
        <v>80</v>
      </c>
      <c r="M560" t="s">
        <v>96</v>
      </c>
      <c r="N560" s="8">
        <v>46273</v>
      </c>
      <c r="O560" s="8">
        <v>46280</v>
      </c>
      <c r="P560" t="s">
        <v>42</v>
      </c>
      <c r="Q560" s="8"/>
      <c r="R560" t="s">
        <v>38</v>
      </c>
      <c r="S56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10</v>
      </c>
      <c r="T56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561" spans="1:20">
      <c r="A561" t="s">
        <v>1037</v>
      </c>
      <c r="B561" t="s">
        <v>1038</v>
      </c>
      <c r="C561" t="s">
        <v>34</v>
      </c>
      <c r="D561" t="s">
        <v>90</v>
      </c>
      <c r="E561" t="s">
        <v>119</v>
      </c>
      <c r="F561" t="s">
        <v>37</v>
      </c>
      <c r="G561" s="5">
        <v>7.8</v>
      </c>
      <c r="H561" s="7">
        <v>0.16300000000000001</v>
      </c>
      <c r="I561" s="5" t="s">
        <v>38</v>
      </c>
      <c r="J561" t="s">
        <v>39</v>
      </c>
      <c r="K561" t="s">
        <v>60</v>
      </c>
      <c r="L561" t="s">
        <v>99</v>
      </c>
      <c r="M561" t="s">
        <v>100</v>
      </c>
      <c r="N561" s="8">
        <v>46248</v>
      </c>
      <c r="O561" s="8">
        <v>46262</v>
      </c>
      <c r="P561" t="s">
        <v>50</v>
      </c>
      <c r="Q561" s="8"/>
      <c r="R561" t="s">
        <v>38</v>
      </c>
      <c r="S56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6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62" spans="1:20">
      <c r="A562" t="s">
        <v>1039</v>
      </c>
      <c r="B562" t="s">
        <v>707</v>
      </c>
      <c r="C562" t="s">
        <v>22</v>
      </c>
      <c r="D562" t="s">
        <v>59</v>
      </c>
      <c r="E562" t="s">
        <v>116</v>
      </c>
      <c r="F562" t="s">
        <v>37</v>
      </c>
      <c r="G562" s="5">
        <v>8.1</v>
      </c>
      <c r="H562" s="7">
        <v>4.8000000000000001E-2</v>
      </c>
      <c r="I562" s="5" t="s">
        <v>38</v>
      </c>
      <c r="J562" t="s">
        <v>39</v>
      </c>
      <c r="K562" t="s">
        <v>28</v>
      </c>
      <c r="L562" t="s">
        <v>40</v>
      </c>
      <c r="M562" t="s">
        <v>72</v>
      </c>
      <c r="N562" s="8">
        <v>46275</v>
      </c>
      <c r="O562" s="8">
        <v>46289</v>
      </c>
      <c r="P562" t="s">
        <v>42</v>
      </c>
      <c r="Q562" s="8"/>
      <c r="R562" t="s">
        <v>38</v>
      </c>
      <c r="S56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6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63" spans="1:20">
      <c r="A563" t="s">
        <v>1040</v>
      </c>
      <c r="B563" t="s">
        <v>661</v>
      </c>
      <c r="C563" t="s">
        <v>34</v>
      </c>
      <c r="D563" t="s">
        <v>53</v>
      </c>
      <c r="E563" t="s">
        <v>24</v>
      </c>
      <c r="F563" t="s">
        <v>25</v>
      </c>
      <c r="G563" s="5">
        <v>10</v>
      </c>
      <c r="H563" s="7">
        <v>4.7E-2</v>
      </c>
      <c r="I563" s="5" t="s">
        <v>38</v>
      </c>
      <c r="J563" t="s">
        <v>39</v>
      </c>
      <c r="K563" t="s">
        <v>87</v>
      </c>
      <c r="L563" t="s">
        <v>29</v>
      </c>
      <c r="M563" t="s">
        <v>30</v>
      </c>
      <c r="N563" s="8">
        <v>46253</v>
      </c>
      <c r="O563" s="8">
        <v>46260</v>
      </c>
      <c r="P563" t="s">
        <v>42</v>
      </c>
      <c r="Q563" s="8"/>
      <c r="R563" t="s">
        <v>38</v>
      </c>
      <c r="S56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6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64" spans="1:20">
      <c r="A564" t="s">
        <v>1041</v>
      </c>
      <c r="B564" t="s">
        <v>86</v>
      </c>
      <c r="C564" t="s">
        <v>34</v>
      </c>
      <c r="D564" t="s">
        <v>59</v>
      </c>
      <c r="E564" t="s">
        <v>119</v>
      </c>
      <c r="F564" t="s">
        <v>37</v>
      </c>
      <c r="G564" s="5">
        <v>7.8</v>
      </c>
      <c r="H564" s="7">
        <v>0.189</v>
      </c>
      <c r="I564" s="5" t="s">
        <v>38</v>
      </c>
      <c r="J564" t="s">
        <v>39</v>
      </c>
      <c r="K564" t="s">
        <v>60</v>
      </c>
      <c r="L564" t="s">
        <v>40</v>
      </c>
      <c r="M564" t="s">
        <v>72</v>
      </c>
      <c r="N564" s="8">
        <v>46265</v>
      </c>
      <c r="O564" s="8">
        <v>46279</v>
      </c>
      <c r="P564" t="s">
        <v>50</v>
      </c>
      <c r="Q564" s="8"/>
      <c r="R564" t="s">
        <v>38</v>
      </c>
      <c r="S56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6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65" spans="1:20">
      <c r="A565" t="s">
        <v>1042</v>
      </c>
      <c r="B565" t="s">
        <v>1043</v>
      </c>
      <c r="C565" t="s">
        <v>22</v>
      </c>
      <c r="D565" t="s">
        <v>104</v>
      </c>
      <c r="E565" t="s">
        <v>142</v>
      </c>
      <c r="F565" t="s">
        <v>71</v>
      </c>
      <c r="G565" s="5">
        <v>8.8000000000000007</v>
      </c>
      <c r="H565" s="7">
        <v>0.22600000000000001</v>
      </c>
      <c r="I565" s="5" t="s">
        <v>38</v>
      </c>
      <c r="J565" t="s">
        <v>39</v>
      </c>
      <c r="K565" t="s">
        <v>87</v>
      </c>
      <c r="L565" t="s">
        <v>40</v>
      </c>
      <c r="M565" t="s">
        <v>41</v>
      </c>
      <c r="N565" s="8">
        <v>46258</v>
      </c>
      <c r="O565" s="8">
        <v>46272</v>
      </c>
      <c r="P565" t="s">
        <v>50</v>
      </c>
      <c r="Q565" s="8"/>
      <c r="R565" t="s">
        <v>38</v>
      </c>
      <c r="S56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6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66" spans="1:20">
      <c r="A566" t="s">
        <v>1044</v>
      </c>
      <c r="B566" t="s">
        <v>1021</v>
      </c>
      <c r="C566" t="s">
        <v>45</v>
      </c>
      <c r="D566" t="s">
        <v>53</v>
      </c>
      <c r="E566" t="s">
        <v>36</v>
      </c>
      <c r="F566" t="s">
        <v>37</v>
      </c>
      <c r="G566" s="5">
        <v>9.8000000000000007</v>
      </c>
      <c r="H566" s="7">
        <v>4.5999999999999999E-2</v>
      </c>
      <c r="I566" s="5" t="s">
        <v>38</v>
      </c>
      <c r="J566" t="s">
        <v>110</v>
      </c>
      <c r="K566" t="s">
        <v>60</v>
      </c>
      <c r="L566" t="s">
        <v>80</v>
      </c>
      <c r="M566" t="s">
        <v>96</v>
      </c>
      <c r="N566" s="8">
        <v>46260</v>
      </c>
      <c r="O566" s="8">
        <v>46267</v>
      </c>
      <c r="P566" t="s">
        <v>42</v>
      </c>
      <c r="Q566" s="8"/>
      <c r="R566" t="s">
        <v>38</v>
      </c>
      <c r="S56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6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67" spans="1:20">
      <c r="A567" t="s">
        <v>1045</v>
      </c>
      <c r="B567" t="s">
        <v>835</v>
      </c>
      <c r="C567" t="s">
        <v>34</v>
      </c>
      <c r="D567" t="s">
        <v>53</v>
      </c>
      <c r="E567" t="s">
        <v>216</v>
      </c>
      <c r="F567" t="s">
        <v>217</v>
      </c>
      <c r="G567" s="5">
        <v>9.1</v>
      </c>
      <c r="H567" s="7">
        <v>3.2000000000000001E-2</v>
      </c>
      <c r="I567" s="5" t="s">
        <v>38</v>
      </c>
      <c r="J567" t="s">
        <v>39</v>
      </c>
      <c r="K567" t="s">
        <v>60</v>
      </c>
      <c r="L567" t="s">
        <v>29</v>
      </c>
      <c r="M567" t="s">
        <v>30</v>
      </c>
      <c r="N567" s="8">
        <v>46245</v>
      </c>
      <c r="O567" s="8">
        <v>46252</v>
      </c>
      <c r="P567" t="s">
        <v>101</v>
      </c>
      <c r="Q567" s="8">
        <v>46267</v>
      </c>
      <c r="R567" t="s">
        <v>38</v>
      </c>
      <c r="S56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6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68" spans="1:20">
      <c r="A568" t="s">
        <v>1046</v>
      </c>
      <c r="B568" t="s">
        <v>1047</v>
      </c>
      <c r="C568" t="s">
        <v>45</v>
      </c>
      <c r="D568" t="s">
        <v>90</v>
      </c>
      <c r="E568" t="s">
        <v>64</v>
      </c>
      <c r="F568" t="s">
        <v>37</v>
      </c>
      <c r="G568" s="5">
        <v>9.8000000000000007</v>
      </c>
      <c r="H568" s="7">
        <v>4.4999999999999998E-2</v>
      </c>
      <c r="I568" s="5" t="s">
        <v>38</v>
      </c>
      <c r="J568" t="s">
        <v>27</v>
      </c>
      <c r="K568" t="s">
        <v>28</v>
      </c>
      <c r="L568" t="s">
        <v>29</v>
      </c>
      <c r="M568" t="s">
        <v>30</v>
      </c>
      <c r="N568" s="8">
        <v>46265</v>
      </c>
      <c r="O568" s="8">
        <v>46272</v>
      </c>
      <c r="P568" t="s">
        <v>42</v>
      </c>
      <c r="Q568" s="8"/>
      <c r="R568" t="s">
        <v>26</v>
      </c>
      <c r="S56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8</v>
      </c>
      <c r="T56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69" spans="1:20">
      <c r="A569" t="s">
        <v>1048</v>
      </c>
      <c r="B569" t="s">
        <v>359</v>
      </c>
      <c r="C569" t="s">
        <v>34</v>
      </c>
      <c r="D569" t="s">
        <v>113</v>
      </c>
      <c r="E569" t="s">
        <v>125</v>
      </c>
      <c r="F569" t="s">
        <v>126</v>
      </c>
      <c r="G569" s="5">
        <v>8.6</v>
      </c>
      <c r="H569" s="7">
        <v>0.26900000000000002</v>
      </c>
      <c r="I569" s="5" t="s">
        <v>38</v>
      </c>
      <c r="J569" t="s">
        <v>110</v>
      </c>
      <c r="K569" t="s">
        <v>87</v>
      </c>
      <c r="L569" t="s">
        <v>48</v>
      </c>
      <c r="M569" t="s">
        <v>49</v>
      </c>
      <c r="N569" s="8">
        <v>46253</v>
      </c>
      <c r="O569" s="8">
        <v>46267</v>
      </c>
      <c r="P569" t="s">
        <v>31</v>
      </c>
      <c r="Q569" s="8">
        <v>46285</v>
      </c>
      <c r="R569" t="s">
        <v>38</v>
      </c>
      <c r="S56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6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0" spans="1:20">
      <c r="A570" t="s">
        <v>1049</v>
      </c>
      <c r="B570" t="s">
        <v>325</v>
      </c>
      <c r="C570" t="s">
        <v>45</v>
      </c>
      <c r="D570" t="s">
        <v>109</v>
      </c>
      <c r="E570" t="s">
        <v>119</v>
      </c>
      <c r="F570" t="s">
        <v>37</v>
      </c>
      <c r="G570" s="5">
        <v>7.8</v>
      </c>
      <c r="H570" s="7">
        <v>2.3E-2</v>
      </c>
      <c r="I570" s="5" t="s">
        <v>38</v>
      </c>
      <c r="J570" t="s">
        <v>39</v>
      </c>
      <c r="K570" t="s">
        <v>28</v>
      </c>
      <c r="L570" t="s">
        <v>99</v>
      </c>
      <c r="M570" t="s">
        <v>100</v>
      </c>
      <c r="N570" s="8">
        <v>46246</v>
      </c>
      <c r="O570" s="8">
        <v>46260</v>
      </c>
      <c r="P570" t="s">
        <v>101</v>
      </c>
      <c r="Q570" s="8">
        <v>46270</v>
      </c>
      <c r="R570" t="s">
        <v>38</v>
      </c>
      <c r="S57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7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1" spans="1:20">
      <c r="A571" t="s">
        <v>1050</v>
      </c>
      <c r="B571" t="s">
        <v>1051</v>
      </c>
      <c r="C571" t="s">
        <v>59</v>
      </c>
      <c r="D571" t="s">
        <v>84</v>
      </c>
      <c r="E571" t="s">
        <v>70</v>
      </c>
      <c r="F571" t="s">
        <v>71</v>
      </c>
      <c r="G571" s="5">
        <v>9.8000000000000007</v>
      </c>
      <c r="H571" s="7">
        <v>4.3999999999999997E-2</v>
      </c>
      <c r="I571" s="5" t="s">
        <v>38</v>
      </c>
      <c r="J571" t="s">
        <v>39</v>
      </c>
      <c r="K571" t="s">
        <v>28</v>
      </c>
      <c r="L571" t="s">
        <v>40</v>
      </c>
      <c r="M571" t="s">
        <v>41</v>
      </c>
      <c r="N571" s="8">
        <v>46254</v>
      </c>
      <c r="O571" s="8">
        <v>46261</v>
      </c>
      <c r="P571" t="s">
        <v>42</v>
      </c>
      <c r="Q571" s="8"/>
      <c r="R571" t="s">
        <v>38</v>
      </c>
      <c r="S57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7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72" spans="1:20">
      <c r="A572" t="s">
        <v>1052</v>
      </c>
      <c r="B572" t="s">
        <v>1053</v>
      </c>
      <c r="C572" t="s">
        <v>59</v>
      </c>
      <c r="D572" t="s">
        <v>23</v>
      </c>
      <c r="E572" t="s">
        <v>125</v>
      </c>
      <c r="F572" t="s">
        <v>126</v>
      </c>
      <c r="G572" s="5">
        <v>8.6</v>
      </c>
      <c r="H572" s="7">
        <v>4.2999999999999997E-2</v>
      </c>
      <c r="I572" s="5" t="s">
        <v>38</v>
      </c>
      <c r="J572" t="s">
        <v>39</v>
      </c>
      <c r="K572" t="s">
        <v>60</v>
      </c>
      <c r="L572" t="s">
        <v>54</v>
      </c>
      <c r="M572" t="s">
        <v>55</v>
      </c>
      <c r="N572" s="8">
        <v>46242</v>
      </c>
      <c r="O572" s="8">
        <v>46256</v>
      </c>
      <c r="P572" t="s">
        <v>42</v>
      </c>
      <c r="Q572" s="8"/>
      <c r="R572" t="s">
        <v>38</v>
      </c>
      <c r="S57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7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73" spans="1:20">
      <c r="A573" t="s">
        <v>1054</v>
      </c>
      <c r="B573" t="s">
        <v>1055</v>
      </c>
      <c r="C573" t="s">
        <v>34</v>
      </c>
      <c r="D573" t="s">
        <v>90</v>
      </c>
      <c r="E573" t="s">
        <v>146</v>
      </c>
      <c r="F573" t="s">
        <v>147</v>
      </c>
      <c r="G573" s="5">
        <v>7.5</v>
      </c>
      <c r="H573" s="7">
        <v>0.315</v>
      </c>
      <c r="I573" s="5" t="s">
        <v>38</v>
      </c>
      <c r="J573" t="s">
        <v>39</v>
      </c>
      <c r="K573" t="s">
        <v>87</v>
      </c>
      <c r="L573" t="s">
        <v>29</v>
      </c>
      <c r="M573" t="s">
        <v>30</v>
      </c>
      <c r="N573" s="8">
        <v>46247</v>
      </c>
      <c r="O573" s="8">
        <v>46261</v>
      </c>
      <c r="P573" t="s">
        <v>50</v>
      </c>
      <c r="Q573" s="8"/>
      <c r="R573" t="s">
        <v>38</v>
      </c>
      <c r="S57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7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4" spans="1:20">
      <c r="A574" t="s">
        <v>1056</v>
      </c>
      <c r="B574" t="s">
        <v>1057</v>
      </c>
      <c r="C574" t="s">
        <v>45</v>
      </c>
      <c r="D574" t="s">
        <v>90</v>
      </c>
      <c r="E574" t="s">
        <v>216</v>
      </c>
      <c r="F574" t="s">
        <v>217</v>
      </c>
      <c r="G574" s="5">
        <v>9.1</v>
      </c>
      <c r="H574" s="7">
        <v>0.191</v>
      </c>
      <c r="I574" s="5" t="s">
        <v>38</v>
      </c>
      <c r="J574" t="s">
        <v>39</v>
      </c>
      <c r="K574" t="s">
        <v>87</v>
      </c>
      <c r="L574" t="s">
        <v>40</v>
      </c>
      <c r="M574" t="s">
        <v>72</v>
      </c>
      <c r="N574" s="8">
        <v>46265</v>
      </c>
      <c r="O574" s="8">
        <v>46272</v>
      </c>
      <c r="P574" t="s">
        <v>31</v>
      </c>
      <c r="Q574" s="8">
        <v>46277</v>
      </c>
      <c r="R574" t="s">
        <v>38</v>
      </c>
      <c r="S57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7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5" spans="1:20">
      <c r="A575" t="s">
        <v>1058</v>
      </c>
      <c r="B575" t="s">
        <v>734</v>
      </c>
      <c r="C575" t="s">
        <v>79</v>
      </c>
      <c r="D575" t="s">
        <v>104</v>
      </c>
      <c r="E575" t="s">
        <v>146</v>
      </c>
      <c r="F575" t="s">
        <v>147</v>
      </c>
      <c r="G575" s="5">
        <v>7.5</v>
      </c>
      <c r="H575" s="7">
        <v>4.2000000000000003E-2</v>
      </c>
      <c r="I575" s="5" t="s">
        <v>38</v>
      </c>
      <c r="J575" t="s">
        <v>27</v>
      </c>
      <c r="K575" t="s">
        <v>28</v>
      </c>
      <c r="L575" t="s">
        <v>80</v>
      </c>
      <c r="M575" t="s">
        <v>96</v>
      </c>
      <c r="N575" s="8">
        <v>46270</v>
      </c>
      <c r="O575" s="8">
        <v>46283</v>
      </c>
      <c r="P575" t="s">
        <v>42</v>
      </c>
      <c r="Q575" s="8"/>
      <c r="R575" t="s">
        <v>26</v>
      </c>
      <c r="S57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7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76" spans="1:20">
      <c r="A576" t="s">
        <v>1059</v>
      </c>
      <c r="B576" t="s">
        <v>901</v>
      </c>
      <c r="C576" t="s">
        <v>34</v>
      </c>
      <c r="D576" t="s">
        <v>109</v>
      </c>
      <c r="E576" t="s">
        <v>119</v>
      </c>
      <c r="F576" t="s">
        <v>37</v>
      </c>
      <c r="G576" s="5">
        <v>7.8</v>
      </c>
      <c r="H576" s="7">
        <v>2.7E-2</v>
      </c>
      <c r="I576" s="5" t="s">
        <v>38</v>
      </c>
      <c r="J576" t="s">
        <v>110</v>
      </c>
      <c r="K576" t="s">
        <v>28</v>
      </c>
      <c r="L576" t="s">
        <v>48</v>
      </c>
      <c r="M576" t="s">
        <v>132</v>
      </c>
      <c r="N576" s="8">
        <v>46242</v>
      </c>
      <c r="O576" s="8">
        <v>46256</v>
      </c>
      <c r="P576" t="s">
        <v>50</v>
      </c>
      <c r="Q576" s="8"/>
      <c r="R576" t="s">
        <v>38</v>
      </c>
      <c r="S57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7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7" spans="1:20">
      <c r="A577" t="s">
        <v>1060</v>
      </c>
      <c r="B577" t="s">
        <v>1061</v>
      </c>
      <c r="C577" t="s">
        <v>58</v>
      </c>
      <c r="D577" t="s">
        <v>113</v>
      </c>
      <c r="E577" t="s">
        <v>125</v>
      </c>
      <c r="F577" t="s">
        <v>126</v>
      </c>
      <c r="G577" s="5">
        <v>8.6</v>
      </c>
      <c r="H577" s="7">
        <v>0.378</v>
      </c>
      <c r="I577" s="5" t="s">
        <v>38</v>
      </c>
      <c r="J577" t="s">
        <v>39</v>
      </c>
      <c r="K577" t="s">
        <v>87</v>
      </c>
      <c r="L577" t="s">
        <v>48</v>
      </c>
      <c r="M577" t="s">
        <v>49</v>
      </c>
      <c r="N577" s="8">
        <v>46258</v>
      </c>
      <c r="O577" s="8">
        <v>46272</v>
      </c>
      <c r="P577" t="s">
        <v>50</v>
      </c>
      <c r="Q577" s="8"/>
      <c r="R577" t="s">
        <v>38</v>
      </c>
      <c r="S57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7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8" spans="1:20">
      <c r="A578" t="s">
        <v>1062</v>
      </c>
      <c r="B578" t="s">
        <v>247</v>
      </c>
      <c r="C578" t="s">
        <v>22</v>
      </c>
      <c r="D578" t="s">
        <v>122</v>
      </c>
      <c r="E578" t="s">
        <v>146</v>
      </c>
      <c r="F578" t="s">
        <v>147</v>
      </c>
      <c r="G578" s="5">
        <v>7.5</v>
      </c>
      <c r="H578" s="7">
        <v>0.36099999999999999</v>
      </c>
      <c r="I578" s="5" t="s">
        <v>38</v>
      </c>
      <c r="J578" t="s">
        <v>39</v>
      </c>
      <c r="K578" t="s">
        <v>87</v>
      </c>
      <c r="L578" t="s">
        <v>29</v>
      </c>
      <c r="M578" t="s">
        <v>65</v>
      </c>
      <c r="N578" s="8">
        <v>46256</v>
      </c>
      <c r="O578" s="8">
        <v>46270</v>
      </c>
      <c r="P578" t="s">
        <v>50</v>
      </c>
      <c r="Q578" s="8"/>
      <c r="R578" t="s">
        <v>38</v>
      </c>
      <c r="S57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7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79" spans="1:20">
      <c r="A579" t="s">
        <v>1063</v>
      </c>
      <c r="B579" t="s">
        <v>580</v>
      </c>
      <c r="C579" t="s">
        <v>34</v>
      </c>
      <c r="D579" t="s">
        <v>90</v>
      </c>
      <c r="E579" t="s">
        <v>119</v>
      </c>
      <c r="F579" t="s">
        <v>37</v>
      </c>
      <c r="G579" s="5">
        <v>7.8</v>
      </c>
      <c r="H579" s="7">
        <v>0.41499999999999998</v>
      </c>
      <c r="I579" s="5" t="s">
        <v>38</v>
      </c>
      <c r="J579" t="s">
        <v>39</v>
      </c>
      <c r="K579" t="s">
        <v>87</v>
      </c>
      <c r="L579" t="s">
        <v>99</v>
      </c>
      <c r="M579" t="s">
        <v>100</v>
      </c>
      <c r="N579" s="8">
        <v>46239</v>
      </c>
      <c r="O579" s="8">
        <v>46253</v>
      </c>
      <c r="P579" t="s">
        <v>31</v>
      </c>
      <c r="Q579" s="8">
        <v>46245</v>
      </c>
      <c r="R579" t="s">
        <v>38</v>
      </c>
      <c r="S57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7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80" spans="1:20">
      <c r="A580" t="s">
        <v>1064</v>
      </c>
      <c r="B580" t="s">
        <v>313</v>
      </c>
      <c r="C580" t="s">
        <v>79</v>
      </c>
      <c r="D580" t="s">
        <v>23</v>
      </c>
      <c r="E580" t="s">
        <v>125</v>
      </c>
      <c r="F580" t="s">
        <v>126</v>
      </c>
      <c r="G580" s="5">
        <v>8.6</v>
      </c>
      <c r="H580" s="7">
        <v>0.15</v>
      </c>
      <c r="I580" s="5" t="s">
        <v>38</v>
      </c>
      <c r="J580" t="s">
        <v>39</v>
      </c>
      <c r="K580" t="s">
        <v>60</v>
      </c>
      <c r="L580" t="s">
        <v>40</v>
      </c>
      <c r="M580" t="s">
        <v>41</v>
      </c>
      <c r="N580" s="8">
        <v>46262</v>
      </c>
      <c r="O580" s="8">
        <v>46276</v>
      </c>
      <c r="P580" t="s">
        <v>91</v>
      </c>
      <c r="Q580" s="8"/>
      <c r="R580" t="s">
        <v>38</v>
      </c>
      <c r="S58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8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81" spans="1:20">
      <c r="A581" t="s">
        <v>1065</v>
      </c>
      <c r="B581" t="s">
        <v>134</v>
      </c>
      <c r="C581" t="s">
        <v>45</v>
      </c>
      <c r="D581" t="s">
        <v>59</v>
      </c>
      <c r="E581" t="s">
        <v>116</v>
      </c>
      <c r="F581" t="s">
        <v>37</v>
      </c>
      <c r="G581" s="5">
        <v>8.1</v>
      </c>
      <c r="H581" s="7">
        <v>4.1000000000000002E-2</v>
      </c>
      <c r="I581" s="5" t="s">
        <v>38</v>
      </c>
      <c r="J581" t="s">
        <v>39</v>
      </c>
      <c r="K581" t="s">
        <v>28</v>
      </c>
      <c r="L581" t="s">
        <v>75</v>
      </c>
      <c r="M581" t="s">
        <v>129</v>
      </c>
      <c r="N581" s="8">
        <v>46239</v>
      </c>
      <c r="O581" s="8">
        <v>46253</v>
      </c>
      <c r="P581" t="s">
        <v>42</v>
      </c>
      <c r="Q581" s="8"/>
      <c r="R581" t="s">
        <v>38</v>
      </c>
      <c r="S58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8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82" spans="1:20">
      <c r="A582" t="s">
        <v>1066</v>
      </c>
      <c r="B582" t="s">
        <v>885</v>
      </c>
      <c r="C582" t="s">
        <v>79</v>
      </c>
      <c r="D582" t="s">
        <v>23</v>
      </c>
      <c r="E582" t="s">
        <v>125</v>
      </c>
      <c r="F582" t="s">
        <v>126</v>
      </c>
      <c r="G582" s="5">
        <v>9</v>
      </c>
      <c r="H582" s="7">
        <v>3.3000000000000002E-2</v>
      </c>
      <c r="I582" s="5" t="s">
        <v>38</v>
      </c>
      <c r="J582" t="s">
        <v>27</v>
      </c>
      <c r="K582" t="s">
        <v>87</v>
      </c>
      <c r="L582" t="s">
        <v>29</v>
      </c>
      <c r="M582" t="s">
        <v>30</v>
      </c>
      <c r="N582" s="8">
        <v>46270</v>
      </c>
      <c r="O582" s="8">
        <v>46277</v>
      </c>
      <c r="P582" t="s">
        <v>42</v>
      </c>
      <c r="Q582" s="8"/>
      <c r="R582" t="s">
        <v>26</v>
      </c>
      <c r="S58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8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83" spans="1:20">
      <c r="A583" t="s">
        <v>1067</v>
      </c>
      <c r="B583" t="s">
        <v>1068</v>
      </c>
      <c r="C583" t="s">
        <v>22</v>
      </c>
      <c r="D583" t="s">
        <v>104</v>
      </c>
      <c r="E583" t="s">
        <v>142</v>
      </c>
      <c r="F583" t="s">
        <v>71</v>
      </c>
      <c r="G583" s="5">
        <v>8.8000000000000007</v>
      </c>
      <c r="H583" s="7">
        <v>0.19400000000000001</v>
      </c>
      <c r="I583" s="5" t="s">
        <v>38</v>
      </c>
      <c r="J583" t="s">
        <v>39</v>
      </c>
      <c r="K583" t="s">
        <v>60</v>
      </c>
      <c r="L583" t="s">
        <v>99</v>
      </c>
      <c r="M583" t="s">
        <v>100</v>
      </c>
      <c r="N583" s="8">
        <v>46265</v>
      </c>
      <c r="O583" s="8">
        <v>46279</v>
      </c>
      <c r="P583" t="s">
        <v>31</v>
      </c>
      <c r="Q583" s="8">
        <v>46269</v>
      </c>
      <c r="R583" t="s">
        <v>38</v>
      </c>
      <c r="S58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8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84" spans="1:20">
      <c r="A584" t="s">
        <v>1069</v>
      </c>
      <c r="B584" t="s">
        <v>33</v>
      </c>
      <c r="C584" t="s">
        <v>34</v>
      </c>
      <c r="D584" t="s">
        <v>84</v>
      </c>
      <c r="E584" t="s">
        <v>119</v>
      </c>
      <c r="F584" t="s">
        <v>37</v>
      </c>
      <c r="G584" s="5">
        <v>7.8</v>
      </c>
      <c r="H584" s="7">
        <v>5.2999999999999999E-2</v>
      </c>
      <c r="I584" s="5" t="s">
        <v>38</v>
      </c>
      <c r="J584" t="s">
        <v>39</v>
      </c>
      <c r="K584" t="s">
        <v>87</v>
      </c>
      <c r="L584" t="s">
        <v>40</v>
      </c>
      <c r="M584" t="s">
        <v>72</v>
      </c>
      <c r="N584" s="8">
        <v>46260</v>
      </c>
      <c r="O584" s="8">
        <v>46272</v>
      </c>
      <c r="P584" t="s">
        <v>101</v>
      </c>
      <c r="Q584" s="8">
        <v>46264</v>
      </c>
      <c r="R584" t="s">
        <v>38</v>
      </c>
      <c r="S58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8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85" spans="1:20">
      <c r="A585" t="s">
        <v>1070</v>
      </c>
      <c r="B585" t="s">
        <v>1071</v>
      </c>
      <c r="C585" t="s">
        <v>58</v>
      </c>
      <c r="D585" t="s">
        <v>23</v>
      </c>
      <c r="E585" t="s">
        <v>146</v>
      </c>
      <c r="F585" t="s">
        <v>147</v>
      </c>
      <c r="G585" s="5">
        <v>7.5</v>
      </c>
      <c r="H585" s="7">
        <v>0.155</v>
      </c>
      <c r="I585" s="5" t="s">
        <v>38</v>
      </c>
      <c r="J585" t="s">
        <v>39</v>
      </c>
      <c r="K585" t="s">
        <v>87</v>
      </c>
      <c r="L585" t="s">
        <v>40</v>
      </c>
      <c r="M585" t="s">
        <v>41</v>
      </c>
      <c r="N585" s="8">
        <v>46260</v>
      </c>
      <c r="O585" s="8">
        <v>46274</v>
      </c>
      <c r="P585" t="s">
        <v>101</v>
      </c>
      <c r="Q585" s="8">
        <v>46294</v>
      </c>
      <c r="R585" t="s">
        <v>38</v>
      </c>
      <c r="S58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8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86" spans="1:20">
      <c r="A586" t="s">
        <v>1072</v>
      </c>
      <c r="B586" t="s">
        <v>1073</v>
      </c>
      <c r="C586" t="s">
        <v>58</v>
      </c>
      <c r="D586" t="s">
        <v>46</v>
      </c>
      <c r="E586" t="s">
        <v>125</v>
      </c>
      <c r="F586" t="s">
        <v>126</v>
      </c>
      <c r="G586" s="5">
        <v>8.6</v>
      </c>
      <c r="H586" s="7">
        <v>2.8000000000000001E-2</v>
      </c>
      <c r="I586" s="5" t="s">
        <v>38</v>
      </c>
      <c r="J586" t="s">
        <v>39</v>
      </c>
      <c r="K586" t="s">
        <v>28</v>
      </c>
      <c r="L586" t="s">
        <v>40</v>
      </c>
      <c r="M586" t="s">
        <v>41</v>
      </c>
      <c r="N586" s="8">
        <v>46270</v>
      </c>
      <c r="O586" s="8">
        <v>46284</v>
      </c>
      <c r="P586" t="s">
        <v>42</v>
      </c>
      <c r="Q586" s="8"/>
      <c r="R586" t="s">
        <v>38</v>
      </c>
      <c r="S58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8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87" spans="1:20">
      <c r="A587" t="s">
        <v>1074</v>
      </c>
      <c r="B587" t="s">
        <v>685</v>
      </c>
      <c r="C587" t="s">
        <v>45</v>
      </c>
      <c r="D587" t="s">
        <v>46</v>
      </c>
      <c r="E587" t="s">
        <v>119</v>
      </c>
      <c r="F587" t="s">
        <v>37</v>
      </c>
      <c r="G587" s="5">
        <v>7.8</v>
      </c>
      <c r="H587" s="7">
        <v>3.4000000000000002E-2</v>
      </c>
      <c r="I587" s="5" t="s">
        <v>38</v>
      </c>
      <c r="J587" t="s">
        <v>39</v>
      </c>
      <c r="K587" t="s">
        <v>60</v>
      </c>
      <c r="L587" t="s">
        <v>54</v>
      </c>
      <c r="M587" t="s">
        <v>55</v>
      </c>
      <c r="N587" s="8">
        <v>46243</v>
      </c>
      <c r="O587" s="8">
        <v>46257</v>
      </c>
      <c r="P587" t="s">
        <v>50</v>
      </c>
      <c r="Q587" s="8"/>
      <c r="R587" t="s">
        <v>38</v>
      </c>
      <c r="S58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8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88" spans="1:20">
      <c r="A588" t="s">
        <v>1075</v>
      </c>
      <c r="B588" t="s">
        <v>713</v>
      </c>
      <c r="C588" t="s">
        <v>45</v>
      </c>
      <c r="D588" t="s">
        <v>59</v>
      </c>
      <c r="E588" t="s">
        <v>142</v>
      </c>
      <c r="F588" t="s">
        <v>71</v>
      </c>
      <c r="G588" s="5">
        <v>8.8000000000000007</v>
      </c>
      <c r="H588" s="7">
        <v>2.8000000000000001E-2</v>
      </c>
      <c r="I588" s="5" t="s">
        <v>38</v>
      </c>
      <c r="J588" t="s">
        <v>39</v>
      </c>
      <c r="K588" t="s">
        <v>28</v>
      </c>
      <c r="L588" t="s">
        <v>80</v>
      </c>
      <c r="M588" t="s">
        <v>81</v>
      </c>
      <c r="N588" s="8">
        <v>46272</v>
      </c>
      <c r="O588" s="8">
        <v>46286</v>
      </c>
      <c r="P588" t="s">
        <v>42</v>
      </c>
      <c r="Q588" s="8"/>
      <c r="R588" t="s">
        <v>38</v>
      </c>
      <c r="S58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8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89" spans="1:20">
      <c r="A589" t="s">
        <v>1076</v>
      </c>
      <c r="B589" t="s">
        <v>1077</v>
      </c>
      <c r="C589" t="s">
        <v>34</v>
      </c>
      <c r="D589" t="s">
        <v>84</v>
      </c>
      <c r="E589" t="s">
        <v>119</v>
      </c>
      <c r="F589" t="s">
        <v>37</v>
      </c>
      <c r="G589" s="5">
        <v>7.8</v>
      </c>
      <c r="H589" s="7">
        <v>7.1999999999999995E-2</v>
      </c>
      <c r="I589" s="5" t="s">
        <v>38</v>
      </c>
      <c r="J589" t="s">
        <v>39</v>
      </c>
      <c r="K589" t="s">
        <v>87</v>
      </c>
      <c r="L589" t="s">
        <v>80</v>
      </c>
      <c r="M589" t="s">
        <v>96</v>
      </c>
      <c r="N589" s="8">
        <v>46271</v>
      </c>
      <c r="O589" s="8">
        <v>46285</v>
      </c>
      <c r="P589" t="s">
        <v>101</v>
      </c>
      <c r="Q589" s="8">
        <v>46274</v>
      </c>
      <c r="R589" t="s">
        <v>38</v>
      </c>
      <c r="S58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8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90" spans="1:20">
      <c r="A590" t="s">
        <v>1078</v>
      </c>
      <c r="B590" t="s">
        <v>929</v>
      </c>
      <c r="C590" t="s">
        <v>34</v>
      </c>
      <c r="D590" t="s">
        <v>104</v>
      </c>
      <c r="E590" t="s">
        <v>64</v>
      </c>
      <c r="F590" t="s">
        <v>37</v>
      </c>
      <c r="G590" s="5">
        <v>10</v>
      </c>
      <c r="H590" s="7">
        <v>2.1000000000000001E-2</v>
      </c>
      <c r="I590" s="5" t="s">
        <v>26</v>
      </c>
      <c r="J590" t="s">
        <v>27</v>
      </c>
      <c r="K590" t="s">
        <v>28</v>
      </c>
      <c r="L590" t="s">
        <v>75</v>
      </c>
      <c r="M590" t="s">
        <v>76</v>
      </c>
      <c r="N590" s="8">
        <v>46261</v>
      </c>
      <c r="O590" s="8">
        <v>46268</v>
      </c>
      <c r="P590" t="s">
        <v>42</v>
      </c>
      <c r="Q590" s="8"/>
      <c r="R590" t="s">
        <v>26</v>
      </c>
      <c r="S59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12</v>
      </c>
      <c r="T59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2</v>
      </c>
    </row>
    <row r="591" spans="1:20">
      <c r="A591" t="s">
        <v>1079</v>
      </c>
      <c r="B591" t="s">
        <v>592</v>
      </c>
      <c r="C591" t="s">
        <v>22</v>
      </c>
      <c r="D591" t="s">
        <v>122</v>
      </c>
      <c r="E591" t="s">
        <v>64</v>
      </c>
      <c r="F591" t="s">
        <v>37</v>
      </c>
      <c r="G591" s="5">
        <v>9.8000000000000007</v>
      </c>
      <c r="H591" s="7">
        <v>1.9E-2</v>
      </c>
      <c r="I591" s="5" t="s">
        <v>38</v>
      </c>
      <c r="J591" t="s">
        <v>27</v>
      </c>
      <c r="K591" t="s">
        <v>60</v>
      </c>
      <c r="L591" t="s">
        <v>40</v>
      </c>
      <c r="M591" t="s">
        <v>41</v>
      </c>
      <c r="N591" s="8">
        <v>46262</v>
      </c>
      <c r="O591" s="8">
        <v>46267</v>
      </c>
      <c r="P591" t="s">
        <v>42</v>
      </c>
      <c r="Q591" s="8"/>
      <c r="R591" t="s">
        <v>26</v>
      </c>
      <c r="S59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7</v>
      </c>
      <c r="T59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3</v>
      </c>
    </row>
    <row r="592" spans="1:20">
      <c r="A592" t="s">
        <v>1080</v>
      </c>
      <c r="B592" t="s">
        <v>163</v>
      </c>
      <c r="C592" t="s">
        <v>22</v>
      </c>
      <c r="D592" t="s">
        <v>113</v>
      </c>
      <c r="E592" t="s">
        <v>36</v>
      </c>
      <c r="F592" t="s">
        <v>37</v>
      </c>
      <c r="G592" s="5">
        <v>9.8000000000000007</v>
      </c>
      <c r="H592" s="7">
        <v>1.7999999999999999E-2</v>
      </c>
      <c r="I592" s="5" t="s">
        <v>38</v>
      </c>
      <c r="J592" t="s">
        <v>39</v>
      </c>
      <c r="K592" t="s">
        <v>28</v>
      </c>
      <c r="L592" t="s">
        <v>54</v>
      </c>
      <c r="M592" t="s">
        <v>55</v>
      </c>
      <c r="N592" s="8">
        <v>46240</v>
      </c>
      <c r="O592" s="8">
        <v>46247</v>
      </c>
      <c r="P592" t="s">
        <v>42</v>
      </c>
      <c r="Q592" s="8"/>
      <c r="R592" t="s">
        <v>38</v>
      </c>
      <c r="S592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92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93" spans="1:20">
      <c r="A593" t="s">
        <v>1081</v>
      </c>
      <c r="B593" t="s">
        <v>44</v>
      </c>
      <c r="C593" t="s">
        <v>45</v>
      </c>
      <c r="D593" t="s">
        <v>35</v>
      </c>
      <c r="E593" t="s">
        <v>116</v>
      </c>
      <c r="F593" t="s">
        <v>37</v>
      </c>
      <c r="G593" s="5">
        <v>8.1</v>
      </c>
      <c r="H593" s="7">
        <v>1.4E-2</v>
      </c>
      <c r="I593" s="5" t="s">
        <v>26</v>
      </c>
      <c r="J593" t="s">
        <v>39</v>
      </c>
      <c r="K593" t="s">
        <v>60</v>
      </c>
      <c r="L593" t="s">
        <v>29</v>
      </c>
      <c r="M593" t="s">
        <v>30</v>
      </c>
      <c r="N593" s="8">
        <v>46259</v>
      </c>
      <c r="O593" s="8">
        <v>46273</v>
      </c>
      <c r="P593" t="s">
        <v>42</v>
      </c>
      <c r="Q593" s="8"/>
      <c r="R593" t="s">
        <v>38</v>
      </c>
      <c r="S593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6</v>
      </c>
      <c r="T593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94" spans="1:20">
      <c r="A594" t="s">
        <v>1082</v>
      </c>
      <c r="B594" t="s">
        <v>1083</v>
      </c>
      <c r="C594" t="s">
        <v>34</v>
      </c>
      <c r="D594" t="s">
        <v>53</v>
      </c>
      <c r="E594" t="s">
        <v>216</v>
      </c>
      <c r="F594" t="s">
        <v>217</v>
      </c>
      <c r="G594" s="5">
        <v>9.1</v>
      </c>
      <c r="H594" s="7">
        <v>1.2999999999999999E-2</v>
      </c>
      <c r="I594" s="5" t="s">
        <v>38</v>
      </c>
      <c r="J594" t="s">
        <v>39</v>
      </c>
      <c r="K594" t="s">
        <v>28</v>
      </c>
      <c r="L594" t="s">
        <v>29</v>
      </c>
      <c r="M594" t="s">
        <v>65</v>
      </c>
      <c r="N594" s="8">
        <v>46236</v>
      </c>
      <c r="O594" s="8">
        <v>46240</v>
      </c>
      <c r="P594" t="s">
        <v>42</v>
      </c>
      <c r="Q594" s="8"/>
      <c r="R594" t="s">
        <v>38</v>
      </c>
      <c r="S594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5</v>
      </c>
      <c r="T594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95" spans="1:20">
      <c r="A595" t="s">
        <v>1084</v>
      </c>
      <c r="B595" t="s">
        <v>966</v>
      </c>
      <c r="C595" t="s">
        <v>22</v>
      </c>
      <c r="D595" t="s">
        <v>113</v>
      </c>
      <c r="E595" t="s">
        <v>125</v>
      </c>
      <c r="F595" t="s">
        <v>126</v>
      </c>
      <c r="G595" s="5">
        <v>8.6</v>
      </c>
      <c r="H595" s="7">
        <v>0.15</v>
      </c>
      <c r="I595" s="5" t="s">
        <v>38</v>
      </c>
      <c r="J595" t="s">
        <v>39</v>
      </c>
      <c r="K595" t="s">
        <v>87</v>
      </c>
      <c r="L595" t="s">
        <v>99</v>
      </c>
      <c r="M595" t="s">
        <v>100</v>
      </c>
      <c r="N595" s="8">
        <v>46248</v>
      </c>
      <c r="O595" s="8">
        <v>46262</v>
      </c>
      <c r="P595" t="s">
        <v>101</v>
      </c>
      <c r="Q595" s="8">
        <v>46276</v>
      </c>
      <c r="R595" t="s">
        <v>38</v>
      </c>
      <c r="S595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95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96" spans="1:20">
      <c r="A596" t="s">
        <v>1085</v>
      </c>
      <c r="B596" t="s">
        <v>454</v>
      </c>
      <c r="C596" t="s">
        <v>79</v>
      </c>
      <c r="D596" t="s">
        <v>46</v>
      </c>
      <c r="E596" t="s">
        <v>142</v>
      </c>
      <c r="F596" t="s">
        <v>71</v>
      </c>
      <c r="G596" s="5">
        <v>8.8000000000000007</v>
      </c>
      <c r="H596" s="7">
        <v>0.01</v>
      </c>
      <c r="I596" s="5" t="s">
        <v>38</v>
      </c>
      <c r="J596" t="s">
        <v>110</v>
      </c>
      <c r="K596" t="s">
        <v>28</v>
      </c>
      <c r="L596" t="s">
        <v>29</v>
      </c>
      <c r="M596" t="s">
        <v>30</v>
      </c>
      <c r="N596" s="8">
        <v>46241</v>
      </c>
      <c r="O596" s="8">
        <v>46255</v>
      </c>
      <c r="P596" t="s">
        <v>42</v>
      </c>
      <c r="Q596" s="8"/>
      <c r="R596" t="s">
        <v>38</v>
      </c>
      <c r="S596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96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97" spans="1:20">
      <c r="A597" t="s">
        <v>1086</v>
      </c>
      <c r="B597" t="s">
        <v>1087</v>
      </c>
      <c r="C597" t="s">
        <v>79</v>
      </c>
      <c r="D597" t="s">
        <v>35</v>
      </c>
      <c r="E597" t="s">
        <v>216</v>
      </c>
      <c r="F597" t="s">
        <v>217</v>
      </c>
      <c r="G597" s="5">
        <v>9.1</v>
      </c>
      <c r="H597" s="7">
        <v>0.01</v>
      </c>
      <c r="I597" s="5" t="s">
        <v>38</v>
      </c>
      <c r="J597" t="s">
        <v>110</v>
      </c>
      <c r="K597" t="s">
        <v>60</v>
      </c>
      <c r="L597" t="s">
        <v>29</v>
      </c>
      <c r="M597" t="s">
        <v>30</v>
      </c>
      <c r="N597" s="8">
        <v>46263</v>
      </c>
      <c r="O597" s="8">
        <v>46270</v>
      </c>
      <c r="P597" t="s">
        <v>42</v>
      </c>
      <c r="Q597" s="8"/>
      <c r="R597" t="s">
        <v>38</v>
      </c>
      <c r="S597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597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598" spans="1:20">
      <c r="A598" t="s">
        <v>1088</v>
      </c>
      <c r="B598" t="s">
        <v>1089</v>
      </c>
      <c r="C598" t="s">
        <v>45</v>
      </c>
      <c r="D598" t="s">
        <v>63</v>
      </c>
      <c r="E598" t="s">
        <v>146</v>
      </c>
      <c r="F598" t="s">
        <v>147</v>
      </c>
      <c r="G598" s="5">
        <v>7.5</v>
      </c>
      <c r="H598" s="7">
        <v>0.10199999999999999</v>
      </c>
      <c r="I598" s="5" t="s">
        <v>38</v>
      </c>
      <c r="J598" t="s">
        <v>39</v>
      </c>
      <c r="K598" t="s">
        <v>87</v>
      </c>
      <c r="L598" t="s">
        <v>99</v>
      </c>
      <c r="M598" t="s">
        <v>100</v>
      </c>
      <c r="N598" s="8">
        <v>46246</v>
      </c>
      <c r="O598" s="8">
        <v>46260</v>
      </c>
      <c r="P598" t="s">
        <v>50</v>
      </c>
      <c r="Q598" s="8"/>
      <c r="R598" t="s">
        <v>38</v>
      </c>
      <c r="S598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98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599" spans="1:20">
      <c r="A599" t="s">
        <v>1090</v>
      </c>
      <c r="B599" t="s">
        <v>153</v>
      </c>
      <c r="C599" t="s">
        <v>34</v>
      </c>
      <c r="D599" t="s">
        <v>122</v>
      </c>
      <c r="E599" t="s">
        <v>142</v>
      </c>
      <c r="F599" t="s">
        <v>71</v>
      </c>
      <c r="G599" s="5">
        <v>8.8000000000000007</v>
      </c>
      <c r="H599" s="7">
        <v>8.5000000000000006E-2</v>
      </c>
      <c r="I599" s="5" t="s">
        <v>38</v>
      </c>
      <c r="J599" t="s">
        <v>110</v>
      </c>
      <c r="K599" t="s">
        <v>87</v>
      </c>
      <c r="L599" t="s">
        <v>48</v>
      </c>
      <c r="M599" t="s">
        <v>49</v>
      </c>
      <c r="N599" s="8">
        <v>46235</v>
      </c>
      <c r="O599" s="8">
        <v>46249</v>
      </c>
      <c r="P599" t="s">
        <v>101</v>
      </c>
      <c r="Q599" s="8">
        <v>46262</v>
      </c>
      <c r="R599" t="s">
        <v>38</v>
      </c>
      <c r="S599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3</v>
      </c>
      <c r="T599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Not Open</v>
      </c>
    </row>
    <row r="600" spans="1:20">
      <c r="A600" t="s">
        <v>1091</v>
      </c>
      <c r="B600" t="s">
        <v>646</v>
      </c>
      <c r="C600" t="s">
        <v>79</v>
      </c>
      <c r="D600" t="s">
        <v>63</v>
      </c>
      <c r="E600" t="s">
        <v>64</v>
      </c>
      <c r="F600" t="s">
        <v>37</v>
      </c>
      <c r="G600" s="5">
        <v>9.8000000000000007</v>
      </c>
      <c r="H600" s="7">
        <v>0.01</v>
      </c>
      <c r="I600" s="5" t="s">
        <v>38</v>
      </c>
      <c r="J600" t="s">
        <v>39</v>
      </c>
      <c r="K600" t="s">
        <v>87</v>
      </c>
      <c r="L600" t="s">
        <v>48</v>
      </c>
      <c r="M600" t="s">
        <v>132</v>
      </c>
      <c r="N600" s="8">
        <v>46237</v>
      </c>
      <c r="O600" s="8">
        <v>46244</v>
      </c>
      <c r="P600" t="s">
        <v>42</v>
      </c>
      <c r="Q600" s="8"/>
      <c r="R600" t="s">
        <v>38</v>
      </c>
      <c r="S600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4</v>
      </c>
      <c r="T600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  <row r="601" spans="1:20">
      <c r="A601" t="s">
        <v>1092</v>
      </c>
      <c r="B601" t="s">
        <v>741</v>
      </c>
      <c r="C601" t="s">
        <v>58</v>
      </c>
      <c r="D601" t="s">
        <v>90</v>
      </c>
      <c r="E601" t="s">
        <v>116</v>
      </c>
      <c r="F601" t="s">
        <v>37</v>
      </c>
      <c r="G601" s="5">
        <v>8.1</v>
      </c>
      <c r="H601" s="7">
        <v>0.01</v>
      </c>
      <c r="I601" s="5" t="s">
        <v>38</v>
      </c>
      <c r="J601" t="s">
        <v>39</v>
      </c>
      <c r="K601" t="s">
        <v>87</v>
      </c>
      <c r="L601" t="s">
        <v>40</v>
      </c>
      <c r="M601" t="s">
        <v>72</v>
      </c>
      <c r="N601" s="8">
        <v>46244</v>
      </c>
      <c r="O601" s="8">
        <v>46254</v>
      </c>
      <c r="P601" t="s">
        <v>42</v>
      </c>
      <c r="Q601" s="8"/>
      <c r="R601" t="s">
        <v>38</v>
      </c>
      <c r="S601" s="10">
        <f>IF(tbl_Vulnerabilities[[#This Row],[CVSS]]=10,4,IF(tbl_Vulnerabilities[[#This Row],[CVSS]]=9.8,3,IF(AND(tbl_Vulnerabilities[[#This Row],[CVSS]]&gt;=9,tbl_Vulnerabilities[[#This Row],[CVSS]]&lt;9.8),2,1)))+IF(tbl_Vulnerabilities[[#This Row],[EPSS]]&gt;=50%,4,IF(tbl_Vulnerabilities[[#This Row],[EPSS]]&gt;=20%,3,IF(tbl_Vulnerabilities[[#This Row],[EPSS]]&gt;=5%,2,1)))+IF(tbl_Vulnerabilities[[#This Row],[CISA_KEV]]="Yes",3,0)+IF(tbl_Vulnerabilities[[#This Row],[Internet_Exposed]]="Yes",2,0)+IF(tbl_Vulnerabilities[[#This Row],[Environment]]="Production",2,IF(tbl_Vulnerabilities[[#This Row],[Environment]]="Corporate",1,0))</f>
        <v>2</v>
      </c>
      <c r="T601" s="3" t="str">
        <f>IF(tbl_Vulnerabilities[[#This Row],[Status]]&lt;&gt;"Open","Not Open",IF(AND(tbl_Vulnerabilities[[#This Row],[Status]]="Open",tbl_Vulnerabilities[[#This Row],[Risk_Score]]&gt;=13),"Priority 1",IF(AND(tbl_Vulnerabilities[[#This Row],[Status]]="Open",tbl_Vulnerabilities[[#This Row],[Risk_Score]]&gt;=10),"Priority 2",IF(AND(tbl_Vulnerabilities[[#This Row],[Status]]="Open",tbl_Vulnerabilities[[#This Row],[Risk_Score]]&gt;=7),"Priority 3","Priority 4"))))</f>
        <v>Priority 4</v>
      </c>
    </row>
  </sheetData>
  <conditionalFormatting sqref="G2:G601">
    <cfRule type="colorScale" priority="1">
      <colorScale>
        <cfvo type="min"/>
        <cfvo type="percentile" val="50"/>
        <cfvo type="max"/>
        <color rgb="FFFFFFFF"/>
        <color rgb="FFFFEB9C"/>
        <color rgb="FFF8696B"/>
      </colorScale>
    </cfRule>
  </conditionalFormatting>
  <conditionalFormatting sqref="H2:H601">
    <cfRule type="colorScale" priority="2">
      <colorScale>
        <cfvo type="min"/>
        <cfvo type="percentile" val="50"/>
        <cfvo type="max"/>
        <color rgb="FFFFFFFF"/>
        <color rgb="FFFFEB9C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9C6F-E253-498E-84E6-3A7303927920}">
  <dimension ref="A1:P39"/>
  <sheetViews>
    <sheetView showGridLines="0" workbookViewId="0">
      <selection activeCell="F14" sqref="F14"/>
    </sheetView>
  </sheetViews>
  <sheetFormatPr defaultRowHeight="15"/>
  <cols>
    <col min="1" max="1" width="15.85546875" bestFit="1" customWidth="1"/>
    <col min="2" max="2" width="23.28515625" bestFit="1" customWidth="1"/>
    <col min="4" max="4" width="13.7109375" bestFit="1" customWidth="1"/>
    <col min="5" max="5" width="10.140625" customWidth="1"/>
    <col min="6" max="6" width="24.7109375" bestFit="1" customWidth="1"/>
    <col min="7" max="7" width="9.42578125" bestFit="1" customWidth="1"/>
    <col min="9" max="9" width="13.85546875" customWidth="1"/>
    <col min="10" max="10" width="19.140625" bestFit="1" customWidth="1"/>
    <col min="11" max="11" width="15.85546875" bestFit="1" customWidth="1"/>
    <col min="12" max="12" width="24.7109375" bestFit="1" customWidth="1"/>
    <col min="13" max="13" width="15.85546875" bestFit="1" customWidth="1"/>
    <col min="14" max="14" width="23.28515625" bestFit="1" customWidth="1"/>
    <col min="15" max="15" width="12" customWidth="1"/>
    <col min="16" max="16" width="11.28515625" customWidth="1"/>
  </cols>
  <sheetData>
    <row r="1" spans="1:16">
      <c r="B1" s="47" t="s">
        <v>1093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1:16" ht="18.75">
      <c r="C3" s="35" t="s">
        <v>1094</v>
      </c>
      <c r="D3" s="36"/>
      <c r="E3" s="37"/>
      <c r="F3" s="18"/>
      <c r="H3" s="41" t="s">
        <v>1095</v>
      </c>
      <c r="I3" s="42"/>
      <c r="J3" s="43"/>
      <c r="M3" s="41" t="s">
        <v>1096</v>
      </c>
      <c r="N3" s="42"/>
      <c r="O3" s="43"/>
    </row>
    <row r="4" spans="1:16" ht="21">
      <c r="C4" s="38">
        <f>COUNTIF(RAW_Vulnerabilities!P:P,"Open")</f>
        <v>290</v>
      </c>
      <c r="D4" s="39"/>
      <c r="E4" s="40"/>
      <c r="F4" s="17"/>
      <c r="H4" s="44">
        <f>COUNTIF(RAW_Vulnerabilities!T:T,"Priority 1")</f>
        <v>12</v>
      </c>
      <c r="I4" s="45"/>
      <c r="J4" s="46"/>
      <c r="L4" s="12"/>
      <c r="M4" s="44">
        <f>_xlfn.MAXIFS(RAW_Vulnerabilities!S:S,RAW_Vulnerabilities!P:P,"Open")</f>
        <v>15</v>
      </c>
      <c r="N4" s="45"/>
      <c r="O4" s="46"/>
    </row>
    <row r="5" spans="1:16">
      <c r="A5" s="5"/>
    </row>
    <row r="6" spans="1:16">
      <c r="D6" s="15"/>
      <c r="M6" s="11" t="s">
        <v>19</v>
      </c>
      <c r="N6" t="s">
        <v>1097</v>
      </c>
    </row>
    <row r="7" spans="1:16">
      <c r="D7" s="16"/>
      <c r="M7" s="25" t="s">
        <v>1098</v>
      </c>
      <c r="N7" s="26">
        <v>12</v>
      </c>
    </row>
    <row r="8" spans="1:16">
      <c r="M8" s="27" t="s">
        <v>1099</v>
      </c>
      <c r="N8" s="28">
        <v>65</v>
      </c>
    </row>
    <row r="9" spans="1:16">
      <c r="M9" s="13" t="s">
        <v>1100</v>
      </c>
      <c r="N9" s="24">
        <v>103</v>
      </c>
    </row>
    <row r="10" spans="1:16">
      <c r="M10" s="13" t="s">
        <v>1101</v>
      </c>
      <c r="N10" s="24">
        <v>110</v>
      </c>
    </row>
    <row r="11" spans="1:16">
      <c r="M11" t="s">
        <v>1102</v>
      </c>
      <c r="N11" s="3">
        <v>290</v>
      </c>
    </row>
    <row r="13" spans="1:16">
      <c r="M13" s="11" t="s">
        <v>15</v>
      </c>
      <c r="N13" t="s">
        <v>42</v>
      </c>
    </row>
    <row r="15" spans="1:16">
      <c r="M15" s="11" t="s">
        <v>10</v>
      </c>
      <c r="N15" t="s">
        <v>1097</v>
      </c>
    </row>
    <row r="16" spans="1:16">
      <c r="M16" s="13" t="s">
        <v>60</v>
      </c>
      <c r="N16" s="24">
        <v>89</v>
      </c>
    </row>
    <row r="17" spans="4:14">
      <c r="M17" s="13" t="s">
        <v>87</v>
      </c>
      <c r="N17" s="24">
        <v>60</v>
      </c>
    </row>
    <row r="18" spans="4:14">
      <c r="M18" s="14" t="s">
        <v>28</v>
      </c>
      <c r="N18" s="23">
        <v>141</v>
      </c>
    </row>
    <row r="19" spans="4:14">
      <c r="M19" t="s">
        <v>1102</v>
      </c>
      <c r="N19" s="3">
        <v>290</v>
      </c>
    </row>
    <row r="21" spans="4:14">
      <c r="D21" s="29" t="s">
        <v>1103</v>
      </c>
      <c r="E21" s="30"/>
      <c r="F21" s="30"/>
      <c r="G21" s="30"/>
      <c r="H21" s="30"/>
      <c r="I21" s="30"/>
      <c r="J21" s="31"/>
    </row>
    <row r="22" spans="4:14">
      <c r="D22" s="32"/>
      <c r="E22" s="33"/>
      <c r="F22" s="33"/>
      <c r="G22" s="33"/>
      <c r="H22" s="33"/>
      <c r="I22" s="33"/>
      <c r="J22" s="34"/>
    </row>
    <row r="24" spans="4:14">
      <c r="D24" s="11" t="s">
        <v>19</v>
      </c>
      <c r="E24" t="s">
        <v>1098</v>
      </c>
    </row>
    <row r="26" spans="4:14">
      <c r="D26" s="11" t="s">
        <v>0</v>
      </c>
      <c r="E26" s="11" t="s">
        <v>10</v>
      </c>
      <c r="F26" s="11" t="s">
        <v>5</v>
      </c>
      <c r="G26" s="11" t="s">
        <v>7</v>
      </c>
      <c r="H26" s="11" t="s">
        <v>8</v>
      </c>
      <c r="I26" s="11" t="s">
        <v>17</v>
      </c>
      <c r="J26" t="s">
        <v>1104</v>
      </c>
    </row>
    <row r="27" spans="4:14">
      <c r="D27" s="20" t="s">
        <v>600</v>
      </c>
      <c r="E27" s="20" t="s">
        <v>28</v>
      </c>
      <c r="F27" s="20" t="s">
        <v>71</v>
      </c>
      <c r="G27" s="21">
        <v>0.249</v>
      </c>
      <c r="H27" s="20" t="s">
        <v>26</v>
      </c>
      <c r="I27" s="22" t="s">
        <v>26</v>
      </c>
      <c r="J27" s="19">
        <v>13</v>
      </c>
    </row>
    <row r="28" spans="4:14">
      <c r="D28" s="20" t="s">
        <v>517</v>
      </c>
      <c r="E28" t="s">
        <v>28</v>
      </c>
      <c r="F28" s="20" t="s">
        <v>37</v>
      </c>
      <c r="G28" s="21">
        <v>0.72699999999999998</v>
      </c>
      <c r="H28" t="s">
        <v>26</v>
      </c>
      <c r="I28" s="22" t="s">
        <v>38</v>
      </c>
      <c r="J28" s="19">
        <v>13</v>
      </c>
    </row>
    <row r="29" spans="4:14">
      <c r="D29" s="20" t="s">
        <v>842</v>
      </c>
      <c r="E29" t="s">
        <v>28</v>
      </c>
      <c r="F29" s="20" t="s">
        <v>71</v>
      </c>
      <c r="G29" s="21">
        <v>0.14099999999999999</v>
      </c>
      <c r="H29" t="s">
        <v>26</v>
      </c>
      <c r="I29" s="22" t="s">
        <v>26</v>
      </c>
      <c r="J29" s="19">
        <v>13</v>
      </c>
    </row>
    <row r="30" spans="4:14">
      <c r="D30" s="20" t="s">
        <v>785</v>
      </c>
      <c r="E30" t="s">
        <v>28</v>
      </c>
      <c r="F30" s="20" t="s">
        <v>25</v>
      </c>
      <c r="G30" s="21">
        <v>0.17399999999999999</v>
      </c>
      <c r="H30" t="s">
        <v>26</v>
      </c>
      <c r="I30" s="22" t="s">
        <v>26</v>
      </c>
      <c r="J30" s="19">
        <v>13</v>
      </c>
    </row>
    <row r="31" spans="4:14">
      <c r="D31" s="20" t="s">
        <v>814</v>
      </c>
      <c r="E31" t="s">
        <v>28</v>
      </c>
      <c r="F31" s="20" t="s">
        <v>37</v>
      </c>
      <c r="G31" s="21">
        <v>0.16400000000000001</v>
      </c>
      <c r="H31" t="s">
        <v>26</v>
      </c>
      <c r="I31" s="22" t="s">
        <v>26</v>
      </c>
      <c r="J31" s="19">
        <v>13</v>
      </c>
    </row>
    <row r="32" spans="4:14">
      <c r="D32" s="20" t="s">
        <v>82</v>
      </c>
      <c r="E32" t="s">
        <v>28</v>
      </c>
      <c r="F32" t="s">
        <v>37</v>
      </c>
      <c r="G32" s="21">
        <v>0.69899999999999995</v>
      </c>
      <c r="H32" t="s">
        <v>26</v>
      </c>
      <c r="I32" s="22" t="s">
        <v>26</v>
      </c>
      <c r="J32" s="19">
        <v>15</v>
      </c>
    </row>
    <row r="33" spans="4:10">
      <c r="D33" s="20" t="s">
        <v>111</v>
      </c>
      <c r="E33" t="s">
        <v>28</v>
      </c>
      <c r="F33" t="s">
        <v>37</v>
      </c>
      <c r="G33" s="21">
        <v>0.38400000000000001</v>
      </c>
      <c r="H33" t="s">
        <v>26</v>
      </c>
      <c r="I33" s="22" t="s">
        <v>26</v>
      </c>
      <c r="J33" s="19">
        <v>14</v>
      </c>
    </row>
    <row r="34" spans="4:10">
      <c r="D34" s="20" t="s">
        <v>575</v>
      </c>
      <c r="E34" s="20" t="s">
        <v>60</v>
      </c>
      <c r="F34" s="20" t="s">
        <v>25</v>
      </c>
      <c r="G34" s="21">
        <v>0.27400000000000002</v>
      </c>
      <c r="H34" t="s">
        <v>26</v>
      </c>
      <c r="I34" s="22" t="s">
        <v>26</v>
      </c>
      <c r="J34" s="19">
        <v>13</v>
      </c>
    </row>
    <row r="35" spans="4:10">
      <c r="D35" s="20" t="s">
        <v>362</v>
      </c>
      <c r="E35" s="20" t="s">
        <v>28</v>
      </c>
      <c r="F35" s="20" t="s">
        <v>37</v>
      </c>
      <c r="G35" s="21">
        <v>0.32100000000000001</v>
      </c>
      <c r="H35" t="s">
        <v>26</v>
      </c>
      <c r="I35" s="22" t="s">
        <v>26</v>
      </c>
      <c r="J35" s="19">
        <v>14</v>
      </c>
    </row>
    <row r="36" spans="4:10">
      <c r="D36" s="20" t="s">
        <v>92</v>
      </c>
      <c r="E36" s="20" t="s">
        <v>60</v>
      </c>
      <c r="F36" t="s">
        <v>37</v>
      </c>
      <c r="G36" s="21">
        <v>0.63200000000000001</v>
      </c>
      <c r="H36" t="s">
        <v>26</v>
      </c>
      <c r="I36" s="22" t="s">
        <v>26</v>
      </c>
      <c r="J36" s="19">
        <v>14</v>
      </c>
    </row>
    <row r="37" spans="4:10">
      <c r="D37" s="20" t="s">
        <v>476</v>
      </c>
      <c r="E37" s="20" t="s">
        <v>28</v>
      </c>
      <c r="F37" t="s">
        <v>37</v>
      </c>
      <c r="G37" s="21">
        <v>0.29799999999999999</v>
      </c>
      <c r="H37" t="s">
        <v>26</v>
      </c>
      <c r="I37" s="22" t="s">
        <v>26</v>
      </c>
      <c r="J37" s="19">
        <v>14</v>
      </c>
    </row>
    <row r="38" spans="4:10">
      <c r="D38" s="20" t="s">
        <v>898</v>
      </c>
      <c r="E38" t="s">
        <v>28</v>
      </c>
      <c r="F38" t="s">
        <v>37</v>
      </c>
      <c r="G38" s="21">
        <v>0.11600000000000001</v>
      </c>
      <c r="H38" t="s">
        <v>26</v>
      </c>
      <c r="I38" s="22" t="s">
        <v>26</v>
      </c>
      <c r="J38" s="19">
        <v>13</v>
      </c>
    </row>
    <row r="39" spans="4:10">
      <c r="D39" t="s">
        <v>1102</v>
      </c>
      <c r="J39" s="3">
        <v>162</v>
      </c>
    </row>
  </sheetData>
  <mergeCells count="8">
    <mergeCell ref="M3:O3"/>
    <mergeCell ref="M4:O4"/>
    <mergeCell ref="B1:P2"/>
    <mergeCell ref="D21:J22"/>
    <mergeCell ref="C3:E3"/>
    <mergeCell ref="C4:E4"/>
    <mergeCell ref="H3:J3"/>
    <mergeCell ref="H4:J4"/>
  </mergeCells>
  <conditionalFormatting pivot="1" sqref="J27:J3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72BB-D0EE-421F-A0F3-E0CB846798C3}">
  <dimension ref="A1:B16"/>
  <sheetViews>
    <sheetView tabSelected="1" workbookViewId="0">
      <selection activeCell="E10" sqref="E10"/>
    </sheetView>
  </sheetViews>
  <sheetFormatPr defaultRowHeight="15"/>
  <cols>
    <col min="1" max="1" width="13.7109375" bestFit="1" customWidth="1"/>
    <col min="2" max="2" width="19.140625" bestFit="1" customWidth="1"/>
  </cols>
  <sheetData>
    <row r="1" spans="1:2">
      <c r="A1" s="11" t="s">
        <v>19</v>
      </c>
      <c r="B1" t="s">
        <v>1098</v>
      </c>
    </row>
    <row r="3" spans="1:2">
      <c r="A3" s="11" t="s">
        <v>0</v>
      </c>
      <c r="B3" t="s">
        <v>1104</v>
      </c>
    </row>
    <row r="4" spans="1:2">
      <c r="A4" t="s">
        <v>600</v>
      </c>
      <c r="B4" s="3">
        <v>13</v>
      </c>
    </row>
    <row r="5" spans="1:2">
      <c r="A5" t="s">
        <v>517</v>
      </c>
      <c r="B5" s="3">
        <v>13</v>
      </c>
    </row>
    <row r="6" spans="1:2">
      <c r="A6" t="s">
        <v>842</v>
      </c>
      <c r="B6" s="3">
        <v>13</v>
      </c>
    </row>
    <row r="7" spans="1:2">
      <c r="A7" t="s">
        <v>785</v>
      </c>
      <c r="B7" s="3">
        <v>13</v>
      </c>
    </row>
    <row r="8" spans="1:2">
      <c r="A8" t="s">
        <v>814</v>
      </c>
      <c r="B8" s="3">
        <v>13</v>
      </c>
    </row>
    <row r="9" spans="1:2">
      <c r="A9" t="s">
        <v>82</v>
      </c>
      <c r="B9" s="3">
        <v>15</v>
      </c>
    </row>
    <row r="10" spans="1:2">
      <c r="A10" t="s">
        <v>111</v>
      </c>
      <c r="B10" s="3">
        <v>14</v>
      </c>
    </row>
    <row r="11" spans="1:2">
      <c r="A11" t="s">
        <v>575</v>
      </c>
      <c r="B11" s="3">
        <v>13</v>
      </c>
    </row>
    <row r="12" spans="1:2">
      <c r="A12" t="s">
        <v>362</v>
      </c>
      <c r="B12" s="3">
        <v>14</v>
      </c>
    </row>
    <row r="13" spans="1:2">
      <c r="A13" t="s">
        <v>92</v>
      </c>
      <c r="B13" s="3">
        <v>14</v>
      </c>
    </row>
    <row r="14" spans="1:2">
      <c r="A14" t="s">
        <v>476</v>
      </c>
      <c r="B14" s="3">
        <v>14</v>
      </c>
    </row>
    <row r="15" spans="1:2">
      <c r="A15" t="s">
        <v>898</v>
      </c>
      <c r="B15" s="3">
        <v>13</v>
      </c>
    </row>
    <row r="16" spans="1:2">
      <c r="A16" t="s">
        <v>1102</v>
      </c>
      <c r="B16" s="3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2026-09-13T23:19:38Z</dcterms:created>
  <dcterms:modified xsi:type="dcterms:W3CDTF">2026-09-18T19:37:16Z</dcterms:modified>
  <cp:category/>
  <cp:contentStatus/>
</cp:coreProperties>
</file>